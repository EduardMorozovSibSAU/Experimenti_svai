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T:\Pyproject\Ecolog\10.04\"/>
    </mc:Choice>
  </mc:AlternateContent>
  <bookViews>
    <workbookView xWindow="0" yWindow="0" windowWidth="38400" windowHeight="17730"/>
  </bookViews>
  <sheets>
    <sheet name="Описание" sheetId="3" r:id="rId1"/>
    <sheet name="Смещение ДМ" sheetId="1" r:id="rId2"/>
    <sheet name="Температура на глубине" sheetId="2" r:id="rId3"/>
  </sheets>
  <definedNames>
    <definedName name="_xlnm._FilterDatabase" localSheetId="1" hidden="1">'Смещение ДМ'!$AL$124:$AR$132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4" i="1" l="1"/>
  <c r="AG49" i="2" l="1"/>
  <c r="AI68" i="2"/>
  <c r="AI69" i="2"/>
  <c r="AI70" i="2"/>
  <c r="AI71" i="2"/>
  <c r="AI72" i="2"/>
  <c r="AH69" i="2"/>
  <c r="AH70" i="2"/>
  <c r="AH71" i="2"/>
  <c r="AH72" i="2"/>
  <c r="AH68" i="2"/>
  <c r="AI49" i="2"/>
  <c r="AI50" i="2"/>
  <c r="AI51" i="2"/>
  <c r="AI52" i="2"/>
  <c r="AI53" i="2"/>
  <c r="AH50" i="2"/>
  <c r="AH51" i="2"/>
  <c r="AH52" i="2"/>
  <c r="AH53" i="2"/>
  <c r="AH49" i="2"/>
  <c r="AG50" i="2"/>
  <c r="AG51" i="2"/>
  <c r="AG52" i="2"/>
  <c r="AG53" i="2"/>
  <c r="AI58" i="2"/>
  <c r="AI59" i="2"/>
  <c r="AI60" i="2"/>
  <c r="AI61" i="2"/>
  <c r="AI62" i="2"/>
  <c r="AH59" i="2"/>
  <c r="AH60" i="2"/>
  <c r="AH61" i="2"/>
  <c r="AH62" i="2"/>
  <c r="AH58" i="2"/>
  <c r="AG59" i="2"/>
  <c r="AG60" i="2"/>
  <c r="AG61" i="2"/>
  <c r="AG62" i="2"/>
  <c r="AG58" i="2"/>
  <c r="AG69" i="2"/>
  <c r="AG70" i="2"/>
  <c r="AG71" i="2"/>
  <c r="AG72" i="2"/>
  <c r="AG68" i="2"/>
  <c r="AD73" i="2"/>
  <c r="AC73" i="2"/>
  <c r="AB73" i="2"/>
  <c r="AI73" i="2"/>
  <c r="AD63" i="2"/>
  <c r="AC63" i="2"/>
  <c r="AB63" i="2"/>
  <c r="AD54" i="2"/>
  <c r="AC54" i="2"/>
  <c r="AB54" i="2"/>
  <c r="AI54" i="2"/>
  <c r="AG54" i="2"/>
  <c r="W68" i="2"/>
  <c r="W69" i="2"/>
  <c r="W70" i="2"/>
  <c r="W71" i="2"/>
  <c r="W72" i="2"/>
  <c r="V69" i="2"/>
  <c r="V70" i="2"/>
  <c r="V71" i="2"/>
  <c r="V72" i="2"/>
  <c r="V68" i="2"/>
  <c r="U69" i="2"/>
  <c r="U70" i="2"/>
  <c r="U71" i="2"/>
  <c r="U72" i="2"/>
  <c r="U68" i="2"/>
  <c r="W58" i="2"/>
  <c r="W59" i="2"/>
  <c r="W60" i="2"/>
  <c r="W61" i="2"/>
  <c r="W62" i="2"/>
  <c r="V59" i="2"/>
  <c r="V60" i="2"/>
  <c r="V61" i="2"/>
  <c r="V62" i="2"/>
  <c r="V58" i="2"/>
  <c r="V63" i="2" s="1"/>
  <c r="U59" i="2"/>
  <c r="U60" i="2"/>
  <c r="U61" i="2"/>
  <c r="U62" i="2"/>
  <c r="U58" i="2"/>
  <c r="U63" i="2" s="1"/>
  <c r="W49" i="2"/>
  <c r="W50" i="2"/>
  <c r="W51" i="2"/>
  <c r="W52" i="2"/>
  <c r="W53" i="2"/>
  <c r="V50" i="2"/>
  <c r="V51" i="2"/>
  <c r="V52" i="2"/>
  <c r="V53" i="2"/>
  <c r="V49" i="2"/>
  <c r="V54" i="2" s="1"/>
  <c r="U50" i="2"/>
  <c r="U51" i="2"/>
  <c r="U52" i="2"/>
  <c r="U53" i="2"/>
  <c r="U49" i="2"/>
  <c r="R73" i="2"/>
  <c r="Q73" i="2"/>
  <c r="P73" i="2"/>
  <c r="W73" i="2"/>
  <c r="V73" i="2"/>
  <c r="U73" i="2"/>
  <c r="R63" i="2"/>
  <c r="Q63" i="2"/>
  <c r="P63" i="2"/>
  <c r="W63" i="2"/>
  <c r="R54" i="2"/>
  <c r="Q54" i="2"/>
  <c r="P54" i="2"/>
  <c r="U54" i="2"/>
  <c r="AI36" i="2"/>
  <c r="AI37" i="2"/>
  <c r="AI38" i="2"/>
  <c r="AI39" i="2"/>
  <c r="AI40" i="2"/>
  <c r="AH37" i="2"/>
  <c r="AH38" i="2"/>
  <c r="AH39" i="2"/>
  <c r="AH40" i="2"/>
  <c r="AG37" i="2"/>
  <c r="AG38" i="2"/>
  <c r="AG39" i="2"/>
  <c r="AG40" i="2"/>
  <c r="AH36" i="2"/>
  <c r="AG36" i="2"/>
  <c r="AI27" i="2"/>
  <c r="AI28" i="2"/>
  <c r="AI29" i="2"/>
  <c r="AI30" i="2"/>
  <c r="AI26" i="2"/>
  <c r="AH27" i="2"/>
  <c r="AH28" i="2"/>
  <c r="AH29" i="2"/>
  <c r="AH30" i="2"/>
  <c r="AH26" i="2"/>
  <c r="AH31" i="2" s="1"/>
  <c r="AG27" i="2"/>
  <c r="AG28" i="2"/>
  <c r="AG29" i="2"/>
  <c r="AG30" i="2"/>
  <c r="AG26" i="2"/>
  <c r="AG31" i="2" s="1"/>
  <c r="AI17" i="2"/>
  <c r="AI22" i="2" s="1"/>
  <c r="AI18" i="2"/>
  <c r="AI19" i="2"/>
  <c r="AI20" i="2"/>
  <c r="AI21" i="2"/>
  <c r="AH18" i="2"/>
  <c r="AH19" i="2"/>
  <c r="AH20" i="2"/>
  <c r="AH21" i="2"/>
  <c r="AH17" i="2"/>
  <c r="AG18" i="2"/>
  <c r="AG19" i="2"/>
  <c r="AG20" i="2"/>
  <c r="AG21" i="2"/>
  <c r="AG17" i="2"/>
  <c r="AD41" i="2"/>
  <c r="AC41" i="2"/>
  <c r="AB41" i="2"/>
  <c r="AI41" i="2"/>
  <c r="AH41" i="2"/>
  <c r="AG41" i="2"/>
  <c r="AD31" i="2"/>
  <c r="AC31" i="2"/>
  <c r="AB31" i="2"/>
  <c r="AI31" i="2"/>
  <c r="AD22" i="2"/>
  <c r="AC22" i="2"/>
  <c r="AB22" i="2"/>
  <c r="AH22" i="2"/>
  <c r="AG22" i="2"/>
  <c r="U36" i="2"/>
  <c r="W36" i="2"/>
  <c r="W37" i="2"/>
  <c r="W38" i="2"/>
  <c r="W39" i="2"/>
  <c r="W40" i="2"/>
  <c r="V37" i="2"/>
  <c r="V38" i="2"/>
  <c r="V39" i="2"/>
  <c r="V40" i="2"/>
  <c r="V36" i="2"/>
  <c r="V41" i="2" s="1"/>
  <c r="U37" i="2"/>
  <c r="U38" i="2"/>
  <c r="U39" i="2"/>
  <c r="U40" i="2"/>
  <c r="U41" i="2"/>
  <c r="W26" i="2"/>
  <c r="W27" i="2"/>
  <c r="W28" i="2"/>
  <c r="W29" i="2"/>
  <c r="W30" i="2"/>
  <c r="V27" i="2"/>
  <c r="V28" i="2"/>
  <c r="V29" i="2"/>
  <c r="V30" i="2"/>
  <c r="V26" i="2"/>
  <c r="U27" i="2"/>
  <c r="U28" i="2"/>
  <c r="U29" i="2"/>
  <c r="U30" i="2"/>
  <c r="U26" i="2"/>
  <c r="W18" i="2"/>
  <c r="W19" i="2"/>
  <c r="W20" i="2"/>
  <c r="W21" i="2"/>
  <c r="W17" i="2"/>
  <c r="V18" i="2"/>
  <c r="V19" i="2"/>
  <c r="V20" i="2"/>
  <c r="V21" i="2"/>
  <c r="V17" i="2"/>
  <c r="U18" i="2"/>
  <c r="U19" i="2"/>
  <c r="U20" i="2"/>
  <c r="U21" i="2"/>
  <c r="U17" i="2"/>
  <c r="J17" i="2"/>
  <c r="I17" i="2"/>
  <c r="K26" i="2"/>
  <c r="K27" i="2"/>
  <c r="K28" i="2"/>
  <c r="K29" i="2"/>
  <c r="K30" i="2"/>
  <c r="J27" i="2"/>
  <c r="J28" i="2"/>
  <c r="J29" i="2"/>
  <c r="J30" i="2"/>
  <c r="J26" i="2"/>
  <c r="I27" i="2"/>
  <c r="I28" i="2"/>
  <c r="I29" i="2"/>
  <c r="I30" i="2"/>
  <c r="I26" i="2"/>
  <c r="F31" i="2"/>
  <c r="E31" i="2"/>
  <c r="D31" i="2"/>
  <c r="K31" i="2"/>
  <c r="J31" i="2"/>
  <c r="I31" i="2"/>
  <c r="W41" i="2"/>
  <c r="R41" i="2"/>
  <c r="Q41" i="2"/>
  <c r="P41" i="2"/>
  <c r="R31" i="2"/>
  <c r="Q31" i="2"/>
  <c r="P31" i="2"/>
  <c r="R22" i="2"/>
  <c r="Q22" i="2"/>
  <c r="P22" i="2"/>
  <c r="AG73" i="2" l="1"/>
  <c r="AH73" i="2"/>
  <c r="AH63" i="2"/>
  <c r="AG63" i="2"/>
  <c r="AI63" i="2"/>
  <c r="AH54" i="2"/>
  <c r="W54" i="2"/>
  <c r="W31" i="2"/>
  <c r="V31" i="2"/>
  <c r="U31" i="2"/>
  <c r="W22" i="2"/>
  <c r="V22" i="2"/>
  <c r="U22" i="2"/>
  <c r="AV125" i="1"/>
  <c r="AV126" i="1"/>
  <c r="AV127" i="1"/>
  <c r="AV128" i="1"/>
  <c r="AV129" i="1"/>
  <c r="AV130" i="1"/>
  <c r="AV131" i="1"/>
  <c r="AV132" i="1"/>
  <c r="AV133" i="1" s="1"/>
  <c r="AU126" i="1"/>
  <c r="AU127" i="1"/>
  <c r="AU128" i="1"/>
  <c r="AU129" i="1"/>
  <c r="AU130" i="1"/>
  <c r="AU131" i="1"/>
  <c r="AU132" i="1"/>
  <c r="AU125" i="1"/>
  <c r="AT126" i="1"/>
  <c r="AT127" i="1"/>
  <c r="AT128" i="1"/>
  <c r="AT133" i="1" s="1"/>
  <c r="AT129" i="1"/>
  <c r="AT130" i="1"/>
  <c r="AT131" i="1"/>
  <c r="AT132" i="1"/>
  <c r="AT125" i="1"/>
  <c r="AV114" i="1"/>
  <c r="AV115" i="1"/>
  <c r="AV116" i="1"/>
  <c r="AV117" i="1"/>
  <c r="AV118" i="1"/>
  <c r="AV119" i="1"/>
  <c r="AV120" i="1"/>
  <c r="AV121" i="1"/>
  <c r="AU115" i="1"/>
  <c r="AU116" i="1"/>
  <c r="AU117" i="1"/>
  <c r="AU118" i="1"/>
  <c r="AU119" i="1"/>
  <c r="AU120" i="1"/>
  <c r="AU121" i="1"/>
  <c r="AU114" i="1"/>
  <c r="AU122" i="1" s="1"/>
  <c r="AT115" i="1"/>
  <c r="AT116" i="1"/>
  <c r="AT117" i="1"/>
  <c r="AT118" i="1"/>
  <c r="AT119" i="1"/>
  <c r="AT120" i="1"/>
  <c r="AT121" i="1"/>
  <c r="AT114" i="1"/>
  <c r="AT122" i="1" s="1"/>
  <c r="AV103" i="1"/>
  <c r="AV104" i="1"/>
  <c r="AV105" i="1"/>
  <c r="AV106" i="1"/>
  <c r="AV107" i="1"/>
  <c r="AV108" i="1"/>
  <c r="AV109" i="1"/>
  <c r="AV110" i="1"/>
  <c r="AU104" i="1"/>
  <c r="AU105" i="1"/>
  <c r="AU106" i="1"/>
  <c r="AU107" i="1"/>
  <c r="AU108" i="1"/>
  <c r="AU109" i="1"/>
  <c r="AU110" i="1"/>
  <c r="AU103" i="1"/>
  <c r="AT104" i="1"/>
  <c r="AT105" i="1"/>
  <c r="AT106" i="1"/>
  <c r="AT107" i="1"/>
  <c r="AT108" i="1"/>
  <c r="AT109" i="1"/>
  <c r="AT110" i="1"/>
  <c r="AT103" i="1"/>
  <c r="AT111" i="1" s="1"/>
  <c r="AI125" i="1"/>
  <c r="AI126" i="1"/>
  <c r="AI127" i="1"/>
  <c r="AI128" i="1"/>
  <c r="AI129" i="1"/>
  <c r="AI130" i="1"/>
  <c r="AI131" i="1"/>
  <c r="AI132" i="1"/>
  <c r="AH126" i="1"/>
  <c r="AH127" i="1"/>
  <c r="AH128" i="1"/>
  <c r="AH129" i="1"/>
  <c r="AH130" i="1"/>
  <c r="AH131" i="1"/>
  <c r="AH132" i="1"/>
  <c r="AH125" i="1"/>
  <c r="AI114" i="1"/>
  <c r="AI115" i="1"/>
  <c r="AI116" i="1"/>
  <c r="AI117" i="1"/>
  <c r="AI118" i="1"/>
  <c r="AI119" i="1"/>
  <c r="AI120" i="1"/>
  <c r="AI121" i="1"/>
  <c r="AH121" i="1"/>
  <c r="AH115" i="1"/>
  <c r="AH116" i="1"/>
  <c r="AH117" i="1"/>
  <c r="AH118" i="1"/>
  <c r="AH119" i="1"/>
  <c r="AH120" i="1"/>
  <c r="AH114" i="1"/>
  <c r="AG115" i="1"/>
  <c r="AG116" i="1"/>
  <c r="AG117" i="1"/>
  <c r="AG118" i="1"/>
  <c r="AG119" i="1"/>
  <c r="AG120" i="1"/>
  <c r="AG121" i="1"/>
  <c r="AG126" i="1"/>
  <c r="AG127" i="1"/>
  <c r="AG128" i="1"/>
  <c r="AG129" i="1"/>
  <c r="AG130" i="1"/>
  <c r="AG131" i="1"/>
  <c r="AG132" i="1"/>
  <c r="AG125" i="1"/>
  <c r="AG114" i="1"/>
  <c r="AI103" i="1"/>
  <c r="AI104" i="1"/>
  <c r="AI105" i="1"/>
  <c r="AI106" i="1"/>
  <c r="AI107" i="1"/>
  <c r="AI108" i="1"/>
  <c r="AI109" i="1"/>
  <c r="AI110" i="1"/>
  <c r="AH104" i="1"/>
  <c r="AH105" i="1"/>
  <c r="AH106" i="1"/>
  <c r="AH107" i="1"/>
  <c r="AH108" i="1"/>
  <c r="AH109" i="1"/>
  <c r="AH110" i="1"/>
  <c r="AG103" i="1"/>
  <c r="AH103" i="1"/>
  <c r="AG104" i="1"/>
  <c r="AG105" i="1"/>
  <c r="AG106" i="1"/>
  <c r="AG107" i="1"/>
  <c r="AG108" i="1"/>
  <c r="AG109" i="1"/>
  <c r="AG110" i="1"/>
  <c r="W132" i="1"/>
  <c r="W131" i="1"/>
  <c r="W133" i="1" s="1"/>
  <c r="W130" i="1"/>
  <c r="W129" i="1"/>
  <c r="W128" i="1"/>
  <c r="W127" i="1"/>
  <c r="W126" i="1"/>
  <c r="W125" i="1"/>
  <c r="V132" i="1"/>
  <c r="V131" i="1"/>
  <c r="V130" i="1"/>
  <c r="V129" i="1"/>
  <c r="V128" i="1"/>
  <c r="V127" i="1"/>
  <c r="V126" i="1"/>
  <c r="V125" i="1"/>
  <c r="U132" i="1"/>
  <c r="U131" i="1"/>
  <c r="U130" i="1"/>
  <c r="U129" i="1"/>
  <c r="U128" i="1"/>
  <c r="U127" i="1"/>
  <c r="U126" i="1"/>
  <c r="U125" i="1"/>
  <c r="U133" i="1" s="1"/>
  <c r="W114" i="1"/>
  <c r="W115" i="1"/>
  <c r="W116" i="1"/>
  <c r="W117" i="1"/>
  <c r="W118" i="1"/>
  <c r="W119" i="1"/>
  <c r="W120" i="1"/>
  <c r="W121" i="1"/>
  <c r="V115" i="1"/>
  <c r="V116" i="1"/>
  <c r="V117" i="1"/>
  <c r="V118" i="1"/>
  <c r="V119" i="1"/>
  <c r="V120" i="1"/>
  <c r="V121" i="1"/>
  <c r="V114" i="1"/>
  <c r="U115" i="1"/>
  <c r="U116" i="1"/>
  <c r="U117" i="1"/>
  <c r="U118" i="1"/>
  <c r="U119" i="1"/>
  <c r="U120" i="1"/>
  <c r="U121" i="1"/>
  <c r="U114" i="1"/>
  <c r="W103" i="1"/>
  <c r="W104" i="1"/>
  <c r="W105" i="1"/>
  <c r="W106" i="1"/>
  <c r="W107" i="1"/>
  <c r="W108" i="1"/>
  <c r="W109" i="1"/>
  <c r="W110" i="1"/>
  <c r="V104" i="1"/>
  <c r="V105" i="1"/>
  <c r="V106" i="1"/>
  <c r="V107" i="1"/>
  <c r="V108" i="1"/>
  <c r="V109" i="1"/>
  <c r="V110" i="1"/>
  <c r="U104" i="1"/>
  <c r="U105" i="1"/>
  <c r="U106" i="1"/>
  <c r="U107" i="1"/>
  <c r="U108" i="1"/>
  <c r="U109" i="1"/>
  <c r="U110" i="1"/>
  <c r="V103" i="1"/>
  <c r="U103" i="1"/>
  <c r="V122" i="1" l="1"/>
  <c r="AV111" i="1"/>
  <c r="U111" i="1"/>
  <c r="AV122" i="1"/>
  <c r="U122" i="1"/>
  <c r="V133" i="1"/>
  <c r="AG111" i="1"/>
  <c r="AU133" i="1"/>
  <c r="W122" i="1"/>
  <c r="AI111" i="1"/>
  <c r="AU111" i="1"/>
  <c r="AG122" i="1"/>
  <c r="AG133" i="1"/>
  <c r="AH133" i="1"/>
  <c r="AI133" i="1"/>
  <c r="AI122" i="1"/>
  <c r="AH122" i="1"/>
  <c r="AH111" i="1"/>
  <c r="V111" i="1"/>
  <c r="W111" i="1"/>
  <c r="AI87" i="1"/>
  <c r="AI88" i="1"/>
  <c r="AI89" i="1"/>
  <c r="AI90" i="1"/>
  <c r="AI91" i="1"/>
  <c r="AI92" i="1"/>
  <c r="AI93" i="1"/>
  <c r="AI94" i="1"/>
  <c r="AH88" i="1"/>
  <c r="AH89" i="1"/>
  <c r="AH90" i="1"/>
  <c r="AH91" i="1"/>
  <c r="AH92" i="1"/>
  <c r="AH93" i="1"/>
  <c r="AH94" i="1"/>
  <c r="AH87" i="1"/>
  <c r="AG88" i="1"/>
  <c r="AG89" i="1"/>
  <c r="AG90" i="1"/>
  <c r="AG91" i="1"/>
  <c r="AG92" i="1"/>
  <c r="AG93" i="1"/>
  <c r="AG94" i="1"/>
  <c r="AG87" i="1"/>
  <c r="AI76" i="1"/>
  <c r="AI77" i="1"/>
  <c r="AI78" i="1"/>
  <c r="AI79" i="1"/>
  <c r="AI80" i="1"/>
  <c r="AI81" i="1"/>
  <c r="AI82" i="1"/>
  <c r="AI83" i="1"/>
  <c r="AH77" i="1"/>
  <c r="AH78" i="1"/>
  <c r="AH79" i="1"/>
  <c r="AH80" i="1"/>
  <c r="AH81" i="1"/>
  <c r="AH82" i="1"/>
  <c r="AH83" i="1"/>
  <c r="AG83" i="1"/>
  <c r="AG77" i="1"/>
  <c r="AG78" i="1"/>
  <c r="AG79" i="1"/>
  <c r="AG80" i="1"/>
  <c r="AG81" i="1"/>
  <c r="AG82" i="1"/>
  <c r="AH76" i="1"/>
  <c r="AG76" i="1"/>
  <c r="AI65" i="1"/>
  <c r="AI66" i="1"/>
  <c r="AI67" i="1"/>
  <c r="AI68" i="1"/>
  <c r="AI69" i="1"/>
  <c r="AI70" i="1"/>
  <c r="AI71" i="1"/>
  <c r="AI72" i="1"/>
  <c r="AH66" i="1"/>
  <c r="AH67" i="1"/>
  <c r="AH68" i="1"/>
  <c r="AH69" i="1"/>
  <c r="AH70" i="1"/>
  <c r="AH71" i="1"/>
  <c r="AH72" i="1"/>
  <c r="AG66" i="1"/>
  <c r="AG67" i="1"/>
  <c r="AG68" i="1"/>
  <c r="AG69" i="1"/>
  <c r="AG70" i="1"/>
  <c r="AG71" i="1"/>
  <c r="AG72" i="1"/>
  <c r="AH65" i="1"/>
  <c r="AG65" i="1"/>
  <c r="AG73" i="1" s="1"/>
  <c r="AV76" i="1"/>
  <c r="AV77" i="1"/>
  <c r="AV78" i="1"/>
  <c r="AV79" i="1"/>
  <c r="AV80" i="1"/>
  <c r="AV81" i="1"/>
  <c r="AV82" i="1"/>
  <c r="AV83" i="1"/>
  <c r="AV87" i="1"/>
  <c r="AV88" i="1"/>
  <c r="AV89" i="1"/>
  <c r="AV90" i="1"/>
  <c r="AV91" i="1"/>
  <c r="AV92" i="1"/>
  <c r="AV93" i="1"/>
  <c r="AV94" i="1"/>
  <c r="AU88" i="1"/>
  <c r="AU89" i="1"/>
  <c r="AU90" i="1"/>
  <c r="AU91" i="1"/>
  <c r="AU92" i="1"/>
  <c r="AU93" i="1"/>
  <c r="AU94" i="1"/>
  <c r="AU87" i="1"/>
  <c r="AU77" i="1"/>
  <c r="AU78" i="1"/>
  <c r="AU79" i="1"/>
  <c r="AU80" i="1"/>
  <c r="AU81" i="1"/>
  <c r="AU82" i="1"/>
  <c r="AU83" i="1"/>
  <c r="AU76" i="1"/>
  <c r="AT83" i="1"/>
  <c r="AT77" i="1"/>
  <c r="AT78" i="1"/>
  <c r="AT79" i="1"/>
  <c r="AT80" i="1"/>
  <c r="AT81" i="1"/>
  <c r="AT82" i="1"/>
  <c r="AT88" i="1"/>
  <c r="AT89" i="1"/>
  <c r="AT90" i="1"/>
  <c r="AT91" i="1"/>
  <c r="AT92" i="1"/>
  <c r="AT93" i="1"/>
  <c r="AT94" i="1"/>
  <c r="AT87" i="1"/>
  <c r="AT76" i="1"/>
  <c r="AV65" i="1"/>
  <c r="AV66" i="1"/>
  <c r="AV67" i="1"/>
  <c r="AV68" i="1"/>
  <c r="AV69" i="1"/>
  <c r="AV70" i="1"/>
  <c r="AV71" i="1"/>
  <c r="AV72" i="1"/>
  <c r="AU66" i="1"/>
  <c r="AU67" i="1"/>
  <c r="AU68" i="1"/>
  <c r="AU69" i="1"/>
  <c r="AU70" i="1"/>
  <c r="AU71" i="1"/>
  <c r="AU72" i="1"/>
  <c r="AU65" i="1"/>
  <c r="AT66" i="1"/>
  <c r="AT67" i="1"/>
  <c r="AT68" i="1"/>
  <c r="AT69" i="1"/>
  <c r="AT70" i="1"/>
  <c r="AT71" i="1"/>
  <c r="AT72" i="1"/>
  <c r="AT65" i="1"/>
  <c r="W87" i="1"/>
  <c r="W88" i="1"/>
  <c r="W89" i="1"/>
  <c r="W90" i="1"/>
  <c r="W91" i="1"/>
  <c r="W92" i="1"/>
  <c r="W93" i="1"/>
  <c r="W94" i="1"/>
  <c r="V88" i="1"/>
  <c r="V89" i="1"/>
  <c r="V90" i="1"/>
  <c r="V91" i="1"/>
  <c r="V92" i="1"/>
  <c r="V93" i="1"/>
  <c r="V94" i="1"/>
  <c r="V87" i="1"/>
  <c r="U88" i="1"/>
  <c r="U89" i="1"/>
  <c r="U90" i="1"/>
  <c r="U91" i="1"/>
  <c r="U92" i="1"/>
  <c r="U93" i="1"/>
  <c r="U94" i="1"/>
  <c r="U87" i="1"/>
  <c r="U95" i="1" s="1"/>
  <c r="W65" i="1"/>
  <c r="W66" i="1"/>
  <c r="W67" i="1"/>
  <c r="W68" i="1"/>
  <c r="W69" i="1"/>
  <c r="W70" i="1"/>
  <c r="W71" i="1"/>
  <c r="W72" i="1"/>
  <c r="V66" i="1"/>
  <c r="V67" i="1"/>
  <c r="V68" i="1"/>
  <c r="V69" i="1"/>
  <c r="V70" i="1"/>
  <c r="V71" i="1"/>
  <c r="V72" i="1"/>
  <c r="V65" i="1"/>
  <c r="U77" i="1"/>
  <c r="U78" i="1"/>
  <c r="U79" i="1"/>
  <c r="U80" i="1"/>
  <c r="U81" i="1"/>
  <c r="U82" i="1"/>
  <c r="U83" i="1"/>
  <c r="U76" i="1"/>
  <c r="W76" i="1"/>
  <c r="W77" i="1"/>
  <c r="W78" i="1"/>
  <c r="W79" i="1"/>
  <c r="W80" i="1"/>
  <c r="W81" i="1"/>
  <c r="W82" i="1"/>
  <c r="W83" i="1"/>
  <c r="V77" i="1"/>
  <c r="V78" i="1"/>
  <c r="V79" i="1"/>
  <c r="V80" i="1"/>
  <c r="V81" i="1"/>
  <c r="V82" i="1"/>
  <c r="V83" i="1"/>
  <c r="V76" i="1"/>
  <c r="U66" i="1"/>
  <c r="U67" i="1"/>
  <c r="U68" i="1"/>
  <c r="U69" i="1"/>
  <c r="U70" i="1"/>
  <c r="U71" i="1"/>
  <c r="U72" i="1"/>
  <c r="U65" i="1"/>
  <c r="U73" i="1" s="1"/>
  <c r="W95" i="1"/>
  <c r="V73" i="1"/>
  <c r="AV84" i="1" l="1"/>
  <c r="AH95" i="1"/>
  <c r="AT73" i="1"/>
  <c r="AI95" i="1"/>
  <c r="V84" i="1"/>
  <c r="V95" i="1"/>
  <c r="AT95" i="1"/>
  <c r="AG84" i="1"/>
  <c r="AI73" i="1"/>
  <c r="AI84" i="1"/>
  <c r="U84" i="1"/>
  <c r="AU84" i="1"/>
  <c r="AT84" i="1"/>
  <c r="AV73" i="1"/>
  <c r="AU73" i="1"/>
  <c r="AU95" i="1"/>
  <c r="AV95" i="1"/>
  <c r="AG95" i="1"/>
  <c r="AH84" i="1"/>
  <c r="AH73" i="1"/>
  <c r="W84" i="1"/>
  <c r="W73" i="1"/>
  <c r="W25" i="1"/>
  <c r="W26" i="1"/>
  <c r="W27" i="1"/>
  <c r="W28" i="1"/>
  <c r="W29" i="1"/>
  <c r="W30" i="1"/>
  <c r="W31" i="1"/>
  <c r="W32" i="1"/>
  <c r="V26" i="1"/>
  <c r="V27" i="1"/>
  <c r="V28" i="1"/>
  <c r="V29" i="1"/>
  <c r="V30" i="1"/>
  <c r="V31" i="1"/>
  <c r="V32" i="1"/>
  <c r="V25" i="1"/>
  <c r="U32" i="1"/>
  <c r="U26" i="1"/>
  <c r="U27" i="1"/>
  <c r="U28" i="1"/>
  <c r="U29" i="1"/>
  <c r="U30" i="1"/>
  <c r="U31" i="1"/>
  <c r="U25" i="1"/>
  <c r="W14" i="1"/>
  <c r="W15" i="1"/>
  <c r="W16" i="1"/>
  <c r="W17" i="1"/>
  <c r="W18" i="1"/>
  <c r="W19" i="1"/>
  <c r="W20" i="1"/>
  <c r="W21" i="1"/>
  <c r="V15" i="1"/>
  <c r="V16" i="1"/>
  <c r="V17" i="1"/>
  <c r="V18" i="1"/>
  <c r="V19" i="1"/>
  <c r="V20" i="1"/>
  <c r="V21" i="1"/>
  <c r="V14" i="1"/>
  <c r="V22" i="1" s="1"/>
  <c r="U15" i="1"/>
  <c r="U16" i="1"/>
  <c r="U17" i="1"/>
  <c r="U18" i="1"/>
  <c r="U19" i="1"/>
  <c r="U20" i="1"/>
  <c r="U21" i="1"/>
  <c r="W36" i="1"/>
  <c r="W37" i="1"/>
  <c r="W38" i="1"/>
  <c r="W39" i="1"/>
  <c r="W40" i="1"/>
  <c r="W41" i="1"/>
  <c r="W42" i="1"/>
  <c r="W43" i="1"/>
  <c r="V37" i="1"/>
  <c r="V38" i="1"/>
  <c r="V39" i="1"/>
  <c r="V40" i="1"/>
  <c r="V41" i="1"/>
  <c r="V42" i="1"/>
  <c r="V43" i="1"/>
  <c r="V36" i="1"/>
  <c r="U37" i="1"/>
  <c r="U38" i="1"/>
  <c r="U39" i="1"/>
  <c r="U40" i="1"/>
  <c r="U41" i="1"/>
  <c r="U42" i="1"/>
  <c r="U43" i="1"/>
  <c r="U36" i="1"/>
  <c r="V44" i="1"/>
  <c r="U44" i="1"/>
  <c r="W33" i="1"/>
  <c r="AT43" i="1"/>
  <c r="AT37" i="1"/>
  <c r="AT38" i="1"/>
  <c r="AT39" i="1"/>
  <c r="AT40" i="1"/>
  <c r="AT41" i="1"/>
  <c r="AT42" i="1"/>
  <c r="AT36" i="1"/>
  <c r="AV36" i="1"/>
  <c r="AV37" i="1"/>
  <c r="AV38" i="1"/>
  <c r="AV39" i="1"/>
  <c r="AV40" i="1"/>
  <c r="AV41" i="1"/>
  <c r="AV42" i="1"/>
  <c r="AV43" i="1"/>
  <c r="AU37" i="1"/>
  <c r="AU38" i="1"/>
  <c r="AU39" i="1"/>
  <c r="AU40" i="1"/>
  <c r="AU41" i="1"/>
  <c r="AU42" i="1"/>
  <c r="AU43" i="1"/>
  <c r="AU36" i="1"/>
  <c r="AV25" i="1"/>
  <c r="AV26" i="1"/>
  <c r="AV27" i="1"/>
  <c r="AV28" i="1"/>
  <c r="AV29" i="1"/>
  <c r="AV30" i="1"/>
  <c r="AV31" i="1"/>
  <c r="AV32" i="1"/>
  <c r="AU26" i="1"/>
  <c r="AU27" i="1"/>
  <c r="AU28" i="1"/>
  <c r="AU29" i="1"/>
  <c r="AU30" i="1"/>
  <c r="AU31" i="1"/>
  <c r="AU32" i="1"/>
  <c r="AU25" i="1"/>
  <c r="AT26" i="1"/>
  <c r="AT27" i="1"/>
  <c r="AT28" i="1"/>
  <c r="AT29" i="1"/>
  <c r="AT30" i="1"/>
  <c r="AT31" i="1"/>
  <c r="AT32" i="1"/>
  <c r="AT25" i="1"/>
  <c r="AV14" i="1"/>
  <c r="AV15" i="1"/>
  <c r="AV16" i="1"/>
  <c r="AV17" i="1"/>
  <c r="AV18" i="1"/>
  <c r="AV19" i="1"/>
  <c r="AV20" i="1"/>
  <c r="AV21" i="1"/>
  <c r="AU15" i="1"/>
  <c r="AU16" i="1"/>
  <c r="AU17" i="1"/>
  <c r="AU18" i="1"/>
  <c r="AU19" i="1"/>
  <c r="AU20" i="1"/>
  <c r="AU21" i="1"/>
  <c r="AU14" i="1"/>
  <c r="AT15" i="1"/>
  <c r="AT16" i="1"/>
  <c r="AT17" i="1"/>
  <c r="AT18" i="1"/>
  <c r="AT19" i="1"/>
  <c r="AT20" i="1"/>
  <c r="AT21" i="1"/>
  <c r="AT14" i="1"/>
  <c r="AI25" i="1"/>
  <c r="AI26" i="1"/>
  <c r="AI27" i="1"/>
  <c r="AI28" i="1"/>
  <c r="AI29" i="1"/>
  <c r="AI30" i="1"/>
  <c r="AI31" i="1"/>
  <c r="AI32" i="1"/>
  <c r="AH25" i="1"/>
  <c r="AH26" i="1"/>
  <c r="AH27" i="1"/>
  <c r="AH28" i="1"/>
  <c r="AH29" i="1"/>
  <c r="AH30" i="1"/>
  <c r="AH31" i="1"/>
  <c r="AH32" i="1"/>
  <c r="AG26" i="1"/>
  <c r="AG27" i="1"/>
  <c r="AG28" i="1"/>
  <c r="AG29" i="1"/>
  <c r="AG30" i="1"/>
  <c r="AG31" i="1"/>
  <c r="AG32" i="1"/>
  <c r="AG25" i="1"/>
  <c r="AI14" i="1"/>
  <c r="AI15" i="1"/>
  <c r="AI16" i="1"/>
  <c r="AI17" i="1"/>
  <c r="AI18" i="1"/>
  <c r="AI19" i="1"/>
  <c r="AI20" i="1"/>
  <c r="AI21" i="1"/>
  <c r="AH15" i="1"/>
  <c r="AH16" i="1"/>
  <c r="AH17" i="1"/>
  <c r="AH18" i="1"/>
  <c r="AH19" i="1"/>
  <c r="AH20" i="1"/>
  <c r="AH21" i="1"/>
  <c r="AH14" i="1"/>
  <c r="AG15" i="1"/>
  <c r="AG16" i="1"/>
  <c r="AG17" i="1"/>
  <c r="AG18" i="1"/>
  <c r="AG19" i="1"/>
  <c r="AG20" i="1"/>
  <c r="AG21" i="1"/>
  <c r="AG14" i="1"/>
  <c r="AI36" i="1"/>
  <c r="AI37" i="1"/>
  <c r="AI38" i="1"/>
  <c r="AI39" i="1"/>
  <c r="AI40" i="1"/>
  <c r="AI41" i="1"/>
  <c r="AI42" i="1"/>
  <c r="AI43" i="1"/>
  <c r="AH37" i="1"/>
  <c r="AH38" i="1"/>
  <c r="AH39" i="1"/>
  <c r="AH40" i="1"/>
  <c r="AH41" i="1"/>
  <c r="AH42" i="1"/>
  <c r="AH43" i="1"/>
  <c r="AH36" i="1"/>
  <c r="AG37" i="1"/>
  <c r="AG38" i="1"/>
  <c r="AG39" i="1"/>
  <c r="AG40" i="1"/>
  <c r="AG41" i="1"/>
  <c r="AG42" i="1"/>
  <c r="AG43" i="1"/>
  <c r="AG36" i="1"/>
  <c r="I41" i="2"/>
  <c r="F41" i="2"/>
  <c r="E41" i="2"/>
  <c r="D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K41" i="2" s="1"/>
  <c r="J36" i="2"/>
  <c r="J41" i="2" s="1"/>
  <c r="I36" i="2"/>
  <c r="F22" i="2"/>
  <c r="E22" i="2"/>
  <c r="D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F10" i="2"/>
  <c r="E10" i="2"/>
  <c r="D10" i="2"/>
  <c r="W22" i="1" l="1"/>
  <c r="AG22" i="1"/>
  <c r="AU33" i="1"/>
  <c r="W44" i="1"/>
  <c r="U33" i="1"/>
  <c r="U22" i="1"/>
  <c r="I22" i="2"/>
  <c r="K22" i="2"/>
  <c r="J22" i="2"/>
  <c r="AT33" i="1"/>
  <c r="V33" i="1"/>
  <c r="AG33" i="1"/>
  <c r="AH33" i="1"/>
  <c r="AU44" i="1"/>
  <c r="AG44" i="1"/>
  <c r="AV44" i="1"/>
  <c r="AU22" i="1"/>
  <c r="AV22" i="1"/>
  <c r="AT44" i="1"/>
  <c r="AV33" i="1"/>
  <c r="AT22" i="1"/>
  <c r="AH22" i="1"/>
  <c r="AH44" i="1"/>
  <c r="AI44" i="1"/>
  <c r="AI33" i="1"/>
  <c r="AI22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57" i="1"/>
  <c r="J57" i="1"/>
  <c r="I57" i="1"/>
  <c r="K21" i="1"/>
  <c r="J21" i="1"/>
  <c r="I21" i="1"/>
  <c r="K56" i="1"/>
  <c r="J56" i="1"/>
  <c r="I56" i="1"/>
  <c r="K20" i="1"/>
  <c r="J20" i="1"/>
  <c r="I20" i="1"/>
  <c r="K55" i="1"/>
  <c r="J55" i="1"/>
  <c r="I55" i="1"/>
  <c r="K19" i="1"/>
  <c r="J19" i="1"/>
  <c r="I19" i="1"/>
  <c r="K54" i="1"/>
  <c r="J54" i="1"/>
  <c r="I54" i="1"/>
  <c r="K18" i="1"/>
  <c r="J18" i="1"/>
  <c r="I18" i="1"/>
  <c r="K53" i="1"/>
  <c r="J53" i="1"/>
  <c r="I53" i="1"/>
  <c r="K17" i="1"/>
  <c r="J17" i="1"/>
  <c r="I17" i="1"/>
  <c r="K52" i="1"/>
  <c r="J52" i="1"/>
  <c r="I52" i="1"/>
  <c r="K16" i="1"/>
  <c r="J16" i="1"/>
  <c r="I16" i="1"/>
  <c r="K51" i="1"/>
  <c r="J51" i="1"/>
  <c r="I51" i="1"/>
  <c r="K15" i="1"/>
  <c r="J15" i="1"/>
  <c r="I15" i="1"/>
  <c r="K50" i="1"/>
  <c r="J50" i="1"/>
  <c r="I50" i="1"/>
  <c r="K14" i="1"/>
  <c r="J14" i="1"/>
  <c r="I14" i="1"/>
  <c r="I44" i="1" l="1"/>
  <c r="J44" i="1"/>
  <c r="K44" i="1"/>
  <c r="I33" i="1"/>
  <c r="K33" i="1"/>
  <c r="I22" i="1"/>
  <c r="K22" i="1"/>
  <c r="J33" i="1"/>
  <c r="J22" i="1"/>
  <c r="K58" i="1"/>
  <c r="J58" i="1"/>
  <c r="I58" i="1"/>
</calcChain>
</file>

<file path=xl/comments1.xml><?xml version="1.0" encoding="utf-8"?>
<comments xmlns="http://schemas.openxmlformats.org/spreadsheetml/2006/main">
  <authors>
    <author>Эдик Морозов</author>
  </authors>
  <commentList>
    <comment ref="Y44" authorId="0" shapeId="0">
      <text>
        <r>
          <rPr>
            <b/>
            <sz val="9"/>
            <color indexed="81"/>
            <rFont val="Tahoma"/>
            <family val="2"/>
            <charset val="204"/>
          </rPr>
          <t>Эдик Морозов:</t>
        </r>
        <r>
          <rPr>
            <sz val="9"/>
            <color indexed="81"/>
            <rFont val="Tahoma"/>
            <family val="2"/>
            <charset val="204"/>
          </rPr>
          <t xml:space="preserve">
Убрал </t>
        </r>
      </text>
    </comment>
  </commentList>
</comments>
</file>

<file path=xl/sharedStrings.xml><?xml version="1.0" encoding="utf-8"?>
<sst xmlns="http://schemas.openxmlformats.org/spreadsheetml/2006/main" count="866" uniqueCount="92">
  <si>
    <t>Soil_types</t>
  </si>
  <si>
    <t>DM</t>
  </si>
  <si>
    <t>Rows</t>
  </si>
  <si>
    <t>R2</t>
  </si>
  <si>
    <t>RMSE</t>
  </si>
  <si>
    <t>MAE</t>
  </si>
  <si>
    <t>Результаты Федора</t>
  </si>
  <si>
    <t>1111112222222222</t>
  </si>
  <si>
    <t>1111113333322222</t>
  </si>
  <si>
    <t>1111114442222222</t>
  </si>
  <si>
    <t>1111122222222222</t>
  </si>
  <si>
    <t>1111122222333222</t>
  </si>
  <si>
    <t>1111144422222222</t>
  </si>
  <si>
    <t>1114422222322222</t>
  </si>
  <si>
    <t>3364444555550000</t>
  </si>
  <si>
    <t>убрал выбросы  002 098 + обучил модель. 11 цикл</t>
  </si>
  <si>
    <t>Результаты на валидации во время обучения. 1-10 цикл</t>
  </si>
  <si>
    <t>Old -New</t>
  </si>
  <si>
    <t xml:space="preserve"> New - Old</t>
  </si>
  <si>
    <t>ИТОГО</t>
  </si>
  <si>
    <t>убрал выбросы  002 098 + обучил модель. 12 цикл</t>
  </si>
  <si>
    <t>убрал выбросы  002 098 + обучил модель. 11+12 цикл</t>
  </si>
  <si>
    <t>Результаты Федора 11-12 цикл</t>
  </si>
  <si>
    <t>Глубина</t>
  </si>
  <si>
    <t>Количество ТС в выборке</t>
  </si>
  <si>
    <t>Количество строк в выборке</t>
  </si>
  <si>
    <t> 1010</t>
  </si>
  <si>
    <r>
      <t> </t>
    </r>
    <r>
      <rPr>
        <b/>
        <sz val="12"/>
        <color rgb="FF000000"/>
        <rFont val="Calibri"/>
        <family val="2"/>
        <scheme val="minor"/>
      </rPr>
      <t>Усредненные метрики:</t>
    </r>
  </si>
  <si>
    <t>Результат на 12 цикле</t>
  </si>
  <si>
    <t>Сумма улучшений</t>
  </si>
  <si>
    <t>Depth</t>
  </si>
  <si>
    <t>TS</t>
  </si>
  <si>
    <t>Результат на 11 цикле</t>
  </si>
  <si>
    <t>Результат на 11 - 12 цикле</t>
  </si>
  <si>
    <t>ТС_тренд последовательный</t>
  </si>
  <si>
    <t>ДМ_ перемещения приростом по модулю    </t>
  </si>
  <si>
    <t>ДМ_ перемещения приростом  </t>
  </si>
  <si>
    <t xml:space="preserve">ТС_тренд приростом </t>
  </si>
  <si>
    <t xml:space="preserve">Болотистость в процентах   </t>
  </si>
  <si>
    <t xml:space="preserve">Увеличение количество di 1 - 4 </t>
  </si>
  <si>
    <t>ГИПОТЕЗЫ</t>
  </si>
  <si>
    <t>Статус</t>
  </si>
  <si>
    <t>11 + 12 циклы</t>
  </si>
  <si>
    <t>11 цикл</t>
  </si>
  <si>
    <t>12 цикл</t>
  </si>
  <si>
    <t>ДМ_ перемещения приростом  + убрал Нормализацию для di-1 di-2 di-3</t>
  </si>
  <si>
    <t>❌ убрал Нормализацию для di-1 di-2 di-3 ❌</t>
  </si>
  <si>
    <t>✅ ДМ_ перемещения приростом   ✅</t>
  </si>
  <si>
    <t>ДМ смещения по модулю Последовательно</t>
  </si>
  <si>
    <t xml:space="preserve"> </t>
  </si>
  <si>
    <t>ДМ_ перемещения последовательно. Болотистость %</t>
  </si>
  <si>
    <t>Увеличение количество tempi 1 - 4</t>
  </si>
  <si>
    <t>ДМ_ перемещения последовательно. Di 1- 4</t>
  </si>
  <si>
    <t>Тренд последовательный</t>
  </si>
  <si>
    <t>Тренд приростом (в данных нет tai)</t>
  </si>
  <si>
    <t>Тренд последовательный (в данных нет tai)</t>
  </si>
  <si>
    <t>Последовательный, нет tai, 1-4 (48)</t>
  </si>
  <si>
    <t>Убрал выбросы</t>
  </si>
  <si>
    <t xml:space="preserve">ДМ_ перемещения приростом , Болотистость в процентах  ,Увеличение количество di 1 - 4 </t>
  </si>
  <si>
    <t>Увидели что R2 ~ &gt; 0.5, следовательно модель начала обобщать данные и видеть в них закономерность</t>
  </si>
  <si>
    <t>Предложение отдельно для каждой модели обучать модель</t>
  </si>
  <si>
    <t>ДМ_ перемещения последовательно (текущий цикл - предыдущий цикл) не работает так хорошо :(</t>
  </si>
  <si>
    <t xml:space="preserve"> ДМ_ перемещения приростом. Модуль y и Входные параметры.</t>
  </si>
  <si>
    <t>Сумма модулей приростов</t>
  </si>
  <si>
    <t xml:space="preserve">ДМ_ перемещения Приростом. Модуль y. </t>
  </si>
  <si>
    <t>Модель предсказывает только модуль перемещения приростом</t>
  </si>
  <si>
    <t xml:space="preserve">ДМ_ перемещения последовательно. Модуль y. </t>
  </si>
  <si>
    <t>В данных перемещения за 4 цикла до (Вместо 3-х)</t>
  </si>
  <si>
    <t>Лучшие на результаты 1, 2 и 5</t>
  </si>
  <si>
    <t>Самые лучшие модели получились под номерами экспериментов 1, 2 и 5. Где:</t>
  </si>
  <si>
    <t>1)</t>
  </si>
  <si>
    <t>Использовались данные с перемещениями ДМ приростом (В столбцах которых содержится информация о всех предыдущих смещениях. Т.е. Сумма изменений)</t>
  </si>
  <si>
    <t>2)</t>
  </si>
  <si>
    <t>5)</t>
  </si>
  <si>
    <t>Улучшения:</t>
  </si>
  <si>
    <t>Увидели что метрика модели R2  &gt; 0.5, следовательно модель начала обобщать данные и видеть в них закономерность. Из-за чего уменьшилась Среднеквадратичная ошибка  RMSE и средняя абсолютная ошибка MAE</t>
  </si>
  <si>
    <t>Эксперименты 3, 4, 6, 7, 8, 9 оказались без значительных улучшений:</t>
  </si>
  <si>
    <t>3)</t>
  </si>
  <si>
    <t>4)</t>
  </si>
  <si>
    <t>6)</t>
  </si>
  <si>
    <t>7)</t>
  </si>
  <si>
    <t>8)</t>
  </si>
  <si>
    <t>9)</t>
  </si>
  <si>
    <t>Использовались данные с перемещениями ДМ приростом. Но при этом в отличии от первого эксперимента, мы не нормализовывали (не приводили данные к диапазону от 0 до 1) столбцы di-1, di-2, di-3 (смещения ДМ 1 цикл назад, 2 цикла назад и 3 цикла назад).</t>
  </si>
  <si>
    <t>Использовались данные с перемещениями ДМ приростом. Преобразовали значения перемещения которые должна предсказывать модель  (взяли их по модулю). Модель предсказывает модуль перемещения приростом</t>
  </si>
  <si>
    <t>Применили на ненормализованные (как в эксперименте 2) данные с перемещениями ДМ последовательно (в столбцах хранится информация об изменениии с предыдущего цикла). Результат незначительно отличается от старых (мартовских) моделей.</t>
  </si>
  <si>
    <r>
      <t>Для этого эксперимента была посчитана</t>
    </r>
    <r>
      <rPr>
        <sz val="11"/>
        <color theme="1"/>
        <rFont val="Calibri"/>
        <family val="2"/>
        <charset val="204"/>
        <scheme val="minor"/>
      </rPr>
      <t xml:space="preserve"> сумма модулей приростов из данных</t>
    </r>
    <r>
      <rPr>
        <sz val="11"/>
        <color theme="1"/>
        <rFont val="Calibri"/>
        <family val="2"/>
        <scheme val="minor"/>
      </rPr>
      <t xml:space="preserve"> с перемещениями ДМ приростом. Взяли по модулю значения перемещения, предсказываемые моделью.  Результат незначительно отличается от старых (мартовских) моделей.</t>
    </r>
  </si>
  <si>
    <t>Использовались данные старые (Х старый). Предсказываемые значения взяты модулю.  Результат незначительно отличается от старых (мартовских) моделей.</t>
  </si>
  <si>
    <t>Использовались данные с перемещениями ДМ последовательно. В качестве статуса заболоченности территории (0 - не заболоченная территория, 1- частично заболоченная территория, 2 - заболоченная территория) был взят процент заболоченности территории.   Результат незначительно отличается от старых (мартовских) моделей.</t>
  </si>
  <si>
    <t>Использовались данные с перемещениями ДМ последовательно. Взято больше столбцов с информацией о предыдущих циклах. Хоть и RMSE и MAE сильно меньше, но R2 &lt; 0, следовательно модель плохо обобщает данные.</t>
  </si>
  <si>
    <t>При использовании данных с перемещениями ДМ приростом, процента заболоченности и данных смещений за 4 цикла до целевого мы получили результаты хуже чем в 1, 2 и 5 экспериментах</t>
  </si>
  <si>
    <t>Для моделей предсказания температур к сожалению нет улучшений, в каких-то случаях среднеквадратичная ошибка RMSE уменьшается, но т.к. метрика R2 &lt; 0, то результаты не являются валидными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</si>
</sst>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0"/>
      <name val="Helvetica Neue"/>
      <family val="3"/>
      <charset val="204"/>
    </font>
    <font>
      <b/>
      <sz val="10"/>
      <color theme="1"/>
      <name val="Helvetica Neue"/>
      <family val="3"/>
      <charset val="204"/>
    </font>
    <font>
      <sz val="11"/>
      <color theme="1"/>
      <name val="Helvetica Neue"/>
      <family val="3"/>
      <charset val="204"/>
    </font>
    <font>
      <sz val="12"/>
      <color theme="1"/>
      <name val="Helvetica Neue"/>
      <family val="3"/>
      <charset val="204"/>
    </font>
    <font>
      <b/>
      <sz val="12"/>
      <color rgb="FF000000"/>
      <name val="Calibri"/>
      <family val="2"/>
      <scheme val="minor"/>
    </font>
    <font>
      <sz val="11"/>
      <color theme="1"/>
      <name val="Consolas"/>
      <family val="3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00610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28"/>
      <color rgb="FF0061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9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7F7F7F"/>
      </top>
      <bottom/>
      <diagonal/>
    </border>
    <border>
      <left style="medium">
        <color indexed="64"/>
      </left>
      <right/>
      <top style="thin">
        <color rgb="FF7F7F7F"/>
      </top>
      <bottom/>
      <diagonal/>
    </border>
    <border>
      <left/>
      <right style="medium">
        <color indexed="64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19" fillId="17" borderId="0" applyNumberFormat="0" applyBorder="0" applyAlignment="0" applyProtection="0"/>
  </cellStyleXfs>
  <cellXfs count="139"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2" xfId="0" applyBorder="1"/>
    <xf numFmtId="0" fontId="3" fillId="0" borderId="0" xfId="0" applyFont="1"/>
    <xf numFmtId="0" fontId="0" fillId="0" borderId="0" xfId="0" applyBorder="1"/>
    <xf numFmtId="1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2" fontId="8" fillId="0" borderId="0" xfId="1" applyNumberFormat="1" applyFont="1" applyBorder="1" applyAlignment="1">
      <alignment horizontal="center" vertical="center"/>
    </xf>
    <xf numFmtId="2" fontId="8" fillId="0" borderId="12" xfId="1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2" fontId="8" fillId="0" borderId="14" xfId="1" applyNumberFormat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 wrapText="1"/>
    </xf>
    <xf numFmtId="2" fontId="8" fillId="0" borderId="0" xfId="0" applyNumberFormat="1" applyFont="1" applyBorder="1" applyAlignment="1">
      <alignment horizontal="center" vertical="center"/>
    </xf>
    <xf numFmtId="2" fontId="0" fillId="0" borderId="2" xfId="0" applyNumberFormat="1" applyBorder="1"/>
    <xf numFmtId="2" fontId="0" fillId="0" borderId="4" xfId="0" applyNumberFormat="1" applyBorder="1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0" borderId="0" xfId="0"/>
    <xf numFmtId="0" fontId="5" fillId="0" borderId="2" xfId="0" applyFont="1" applyBorder="1" applyAlignment="1">
      <alignment horizontal="center" vertical="top"/>
    </xf>
    <xf numFmtId="0" fontId="0" fillId="5" borderId="0" xfId="0" applyFill="1"/>
    <xf numFmtId="0" fontId="0" fillId="11" borderId="0" xfId="0" applyFill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5" fillId="0" borderId="9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15" fillId="5" borderId="0" xfId="0" applyFont="1" applyFill="1"/>
    <xf numFmtId="0" fontId="0" fillId="5" borderId="0" xfId="0" applyFont="1" applyFill="1" applyAlignment="1">
      <alignment horizontal="center"/>
    </xf>
    <xf numFmtId="0" fontId="0" fillId="16" borderId="0" xfId="0" applyFill="1"/>
    <xf numFmtId="0" fontId="0" fillId="18" borderId="0" xfId="0" applyFill="1"/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9" fillId="17" borderId="0" xfId="4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4" borderId="16" xfId="0" applyFill="1" applyBorder="1" applyAlignment="1">
      <alignment horizontal="center"/>
    </xf>
    <xf numFmtId="0" fontId="14" fillId="12" borderId="6" xfId="2" applyFont="1" applyFill="1" applyBorder="1" applyAlignment="1">
      <alignment horizontal="center" vertical="center"/>
    </xf>
    <xf numFmtId="0" fontId="14" fillId="12" borderId="7" xfId="2" applyFont="1" applyFill="1" applyBorder="1" applyAlignment="1">
      <alignment horizontal="center" vertical="center"/>
    </xf>
    <xf numFmtId="0" fontId="14" fillId="12" borderId="8" xfId="2" applyFont="1" applyFill="1" applyBorder="1" applyAlignment="1">
      <alignment horizontal="center" vertical="center"/>
    </xf>
    <xf numFmtId="0" fontId="14" fillId="12" borderId="23" xfId="2" applyFont="1" applyFill="1" applyBorder="1" applyAlignment="1">
      <alignment horizontal="center" vertical="center"/>
    </xf>
    <xf numFmtId="0" fontId="14" fillId="12" borderId="24" xfId="2" applyFont="1" applyFill="1" applyBorder="1" applyAlignment="1">
      <alignment horizontal="center" vertical="center"/>
    </xf>
    <xf numFmtId="0" fontId="14" fillId="12" borderId="25" xfId="2" applyFont="1" applyFill="1" applyBorder="1" applyAlignment="1">
      <alignment horizontal="center" vertical="center"/>
    </xf>
    <xf numFmtId="0" fontId="21" fillId="19" borderId="21" xfId="4" applyFont="1" applyFill="1" applyBorder="1" applyAlignment="1">
      <alignment horizontal="center"/>
    </xf>
    <xf numFmtId="0" fontId="21" fillId="19" borderId="22" xfId="4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4" fillId="13" borderId="6" xfId="2" applyFont="1" applyFill="1" applyBorder="1" applyAlignment="1">
      <alignment horizontal="center" vertical="center" wrapText="1"/>
    </xf>
    <xf numFmtId="0" fontId="14" fillId="13" borderId="7" xfId="2" applyFont="1" applyFill="1" applyBorder="1" applyAlignment="1">
      <alignment horizontal="center" vertical="center" wrapText="1"/>
    </xf>
    <xf numFmtId="0" fontId="14" fillId="13" borderId="8" xfId="2" applyFont="1" applyFill="1" applyBorder="1" applyAlignment="1">
      <alignment horizontal="center" vertical="center" wrapText="1"/>
    </xf>
    <xf numFmtId="0" fontId="14" fillId="13" borderId="23" xfId="2" applyFont="1" applyFill="1" applyBorder="1" applyAlignment="1">
      <alignment horizontal="center" vertical="center" wrapText="1"/>
    </xf>
    <xf numFmtId="0" fontId="14" fillId="13" borderId="24" xfId="2" applyFont="1" applyFill="1" applyBorder="1" applyAlignment="1">
      <alignment horizontal="center" vertical="center" wrapText="1"/>
    </xf>
    <xf numFmtId="0" fontId="14" fillId="13" borderId="25" xfId="2" applyFont="1" applyFill="1" applyBorder="1" applyAlignment="1">
      <alignment horizontal="center" vertical="center" wrapText="1"/>
    </xf>
    <xf numFmtId="0" fontId="14" fillId="13" borderId="6" xfId="2" applyFont="1" applyFill="1" applyBorder="1" applyAlignment="1">
      <alignment horizontal="center" vertical="center"/>
    </xf>
    <xf numFmtId="0" fontId="14" fillId="13" borderId="7" xfId="2" applyFont="1" applyFill="1" applyBorder="1" applyAlignment="1">
      <alignment horizontal="center" vertical="center"/>
    </xf>
    <xf numFmtId="0" fontId="14" fillId="13" borderId="8" xfId="2" applyFont="1" applyFill="1" applyBorder="1" applyAlignment="1">
      <alignment horizontal="center" vertical="center"/>
    </xf>
    <xf numFmtId="0" fontId="14" fillId="13" borderId="23" xfId="2" applyFont="1" applyFill="1" applyBorder="1" applyAlignment="1">
      <alignment horizontal="center" vertical="center"/>
    </xf>
    <xf numFmtId="0" fontId="14" fillId="13" borderId="24" xfId="2" applyFont="1" applyFill="1" applyBorder="1" applyAlignment="1">
      <alignment horizontal="center" vertical="center"/>
    </xf>
    <xf numFmtId="0" fontId="14" fillId="13" borderId="25" xfId="2" applyFont="1" applyFill="1" applyBorder="1" applyAlignment="1">
      <alignment horizontal="center" vertical="center"/>
    </xf>
    <xf numFmtId="0" fontId="21" fillId="17" borderId="21" xfId="4" applyFont="1" applyBorder="1" applyAlignment="1">
      <alignment horizontal="center"/>
    </xf>
    <xf numFmtId="0" fontId="21" fillId="17" borderId="22" xfId="4" applyFont="1" applyBorder="1" applyAlignment="1">
      <alignment horizontal="center"/>
    </xf>
    <xf numFmtId="0" fontId="21" fillId="9" borderId="21" xfId="4" applyFont="1" applyFill="1" applyBorder="1" applyAlignment="1">
      <alignment horizontal="center"/>
    </xf>
    <xf numFmtId="0" fontId="21" fillId="9" borderId="22" xfId="4" applyFont="1" applyFill="1" applyBorder="1" applyAlignment="1">
      <alignment horizontal="center"/>
    </xf>
    <xf numFmtId="0" fontId="21" fillId="15" borderId="21" xfId="4" applyFont="1" applyFill="1" applyBorder="1" applyAlignment="1">
      <alignment horizontal="center"/>
    </xf>
    <xf numFmtId="0" fontId="21" fillId="15" borderId="22" xfId="4" applyFont="1" applyFill="1" applyBorder="1" applyAlignment="1">
      <alignment horizontal="center"/>
    </xf>
    <xf numFmtId="0" fontId="13" fillId="4" borderId="1" xfId="2" applyFont="1" applyFill="1" applyBorder="1" applyAlignment="1">
      <alignment horizontal="center" vertical="center"/>
    </xf>
    <xf numFmtId="0" fontId="12" fillId="8" borderId="1" xfId="2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4" fillId="3" borderId="0" xfId="3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/>
    </xf>
    <xf numFmtId="0" fontId="13" fillId="11" borderId="6" xfId="2" applyFont="1" applyFill="1" applyBorder="1" applyAlignment="1">
      <alignment horizontal="center" vertical="center"/>
    </xf>
    <xf numFmtId="0" fontId="13" fillId="11" borderId="7" xfId="2" applyFont="1" applyFill="1" applyBorder="1" applyAlignment="1">
      <alignment horizontal="center" vertical="center"/>
    </xf>
    <xf numFmtId="0" fontId="13" fillId="11" borderId="8" xfId="2" applyFont="1" applyFill="1" applyBorder="1" applyAlignment="1">
      <alignment horizontal="center" vertical="center"/>
    </xf>
    <xf numFmtId="0" fontId="13" fillId="11" borderId="23" xfId="2" applyFont="1" applyFill="1" applyBorder="1" applyAlignment="1">
      <alignment horizontal="center" vertical="center"/>
    </xf>
    <xf numFmtId="0" fontId="13" fillId="11" borderId="24" xfId="2" applyFont="1" applyFill="1" applyBorder="1" applyAlignment="1">
      <alignment horizontal="center" vertical="center"/>
    </xf>
    <xf numFmtId="0" fontId="13" fillId="11" borderId="25" xfId="2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3" fillId="9" borderId="6" xfId="2" applyFont="1" applyFill="1" applyBorder="1" applyAlignment="1">
      <alignment horizontal="center" vertical="center"/>
    </xf>
    <xf numFmtId="0" fontId="13" fillId="9" borderId="7" xfId="2" applyFont="1" applyFill="1" applyBorder="1" applyAlignment="1">
      <alignment horizontal="center" vertical="center"/>
    </xf>
    <xf numFmtId="0" fontId="13" fillId="9" borderId="8" xfId="2" applyFont="1" applyFill="1" applyBorder="1" applyAlignment="1">
      <alignment horizontal="center" vertical="center"/>
    </xf>
    <xf numFmtId="0" fontId="13" fillId="9" borderId="23" xfId="2" applyFont="1" applyFill="1" applyBorder="1" applyAlignment="1">
      <alignment horizontal="center" vertical="center"/>
    </xf>
    <xf numFmtId="0" fontId="13" fillId="9" borderId="24" xfId="2" applyFont="1" applyFill="1" applyBorder="1" applyAlignment="1">
      <alignment horizontal="center" vertical="center"/>
    </xf>
    <xf numFmtId="0" fontId="13" fillId="9" borderId="25" xfId="2" applyFont="1" applyFill="1" applyBorder="1" applyAlignment="1">
      <alignment horizontal="center" vertical="center"/>
    </xf>
    <xf numFmtId="0" fontId="13" fillId="10" borderId="6" xfId="2" applyFont="1" applyFill="1" applyBorder="1" applyAlignment="1">
      <alignment horizontal="center" vertical="center"/>
    </xf>
    <xf numFmtId="0" fontId="13" fillId="10" borderId="7" xfId="2" applyFont="1" applyFill="1" applyBorder="1" applyAlignment="1">
      <alignment horizontal="center" vertical="center"/>
    </xf>
    <xf numFmtId="0" fontId="13" fillId="10" borderId="8" xfId="2" applyFont="1" applyFill="1" applyBorder="1" applyAlignment="1">
      <alignment horizontal="center" vertical="center"/>
    </xf>
    <xf numFmtId="0" fontId="13" fillId="10" borderId="23" xfId="2" applyFont="1" applyFill="1" applyBorder="1" applyAlignment="1">
      <alignment horizontal="center" vertical="center"/>
    </xf>
    <xf numFmtId="0" fontId="13" fillId="10" borderId="24" xfId="2" applyFont="1" applyFill="1" applyBorder="1" applyAlignment="1">
      <alignment horizontal="center" vertical="center"/>
    </xf>
    <xf numFmtId="0" fontId="13" fillId="10" borderId="25" xfId="2" applyFont="1" applyFill="1" applyBorder="1" applyAlignment="1">
      <alignment horizontal="center" vertical="center"/>
    </xf>
    <xf numFmtId="0" fontId="6" fillId="6" borderId="6" xfId="3" applyFont="1" applyFill="1" applyBorder="1" applyAlignment="1">
      <alignment horizontal="center"/>
    </xf>
    <xf numFmtId="0" fontId="6" fillId="6" borderId="7" xfId="3" applyFont="1" applyFill="1" applyBorder="1" applyAlignment="1">
      <alignment horizontal="center"/>
    </xf>
    <xf numFmtId="0" fontId="6" fillId="6" borderId="8" xfId="3" applyFont="1" applyFill="1" applyBorder="1" applyAlignment="1">
      <alignment horizontal="center"/>
    </xf>
    <xf numFmtId="2" fontId="9" fillId="7" borderId="16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 wrapText="1"/>
    </xf>
    <xf numFmtId="0" fontId="6" fillId="3" borderId="6" xfId="3" applyFont="1" applyBorder="1" applyAlignment="1">
      <alignment horizontal="center"/>
    </xf>
    <xf numFmtId="0" fontId="6" fillId="3" borderId="7" xfId="3" applyFont="1" applyBorder="1" applyAlignment="1">
      <alignment horizontal="center"/>
    </xf>
    <xf numFmtId="0" fontId="6" fillId="3" borderId="8" xfId="3" applyFont="1" applyBorder="1" applyAlignment="1">
      <alignment horizontal="center"/>
    </xf>
    <xf numFmtId="0" fontId="12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</cellXfs>
  <cellStyles count="5">
    <cellStyle name="Акцент2" xfId="2" builtinId="33"/>
    <cellStyle name="Акцент5" xfId="3" builtinId="45"/>
    <cellStyle name="Обычный" xfId="0" builtinId="0"/>
    <cellStyle name="Процентный" xfId="1" builtinId="5"/>
    <cellStyle name="Хороший" xfId="4" builtinId="26"/>
  </cellStyles>
  <dxfs count="30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4"/>
  <sheetViews>
    <sheetView tabSelected="1" workbookViewId="0">
      <selection activeCell="G27" sqref="G27"/>
    </sheetView>
  </sheetViews>
  <sheetFormatPr defaultRowHeight="15"/>
  <cols>
    <col min="3" max="3" width="43" customWidth="1"/>
    <col min="4" max="5" width="7.5703125" customWidth="1"/>
    <col min="6" max="7" width="36.28515625" customWidth="1"/>
    <col min="8" max="8" width="35.28515625" customWidth="1"/>
  </cols>
  <sheetData>
    <row r="2" spans="2:8">
      <c r="B2" s="27"/>
      <c r="C2" s="29" t="s">
        <v>40</v>
      </c>
      <c r="D2" s="24" t="s">
        <v>41</v>
      </c>
    </row>
    <row r="3" spans="2:8">
      <c r="B3" s="27">
        <v>1</v>
      </c>
      <c r="C3" s="28" t="s">
        <v>48</v>
      </c>
      <c r="D3" s="50"/>
    </row>
    <row r="4" spans="2:8">
      <c r="B4" s="27">
        <v>2</v>
      </c>
      <c r="C4" s="28" t="s">
        <v>35</v>
      </c>
      <c r="D4" s="49"/>
    </row>
    <row r="5" spans="2:8">
      <c r="B5" s="27">
        <v>3</v>
      </c>
      <c r="C5" s="28" t="s">
        <v>36</v>
      </c>
      <c r="D5" s="49"/>
      <c r="E5" s="60"/>
    </row>
    <row r="6" spans="2:8">
      <c r="B6" s="27">
        <v>4</v>
      </c>
      <c r="C6" s="28" t="s">
        <v>37</v>
      </c>
      <c r="D6" s="49"/>
      <c r="E6" s="25"/>
      <c r="F6" s="25"/>
      <c r="G6" s="25"/>
      <c r="H6" s="25"/>
    </row>
    <row r="7" spans="2:8">
      <c r="B7" s="27">
        <v>5</v>
      </c>
      <c r="C7" s="28" t="s">
        <v>34</v>
      </c>
      <c r="D7" s="58"/>
      <c r="E7" s="26"/>
      <c r="F7" s="26"/>
      <c r="G7" s="26"/>
      <c r="H7" s="26"/>
    </row>
    <row r="8" spans="2:8">
      <c r="B8" s="27">
        <v>6</v>
      </c>
      <c r="C8" s="28" t="s">
        <v>38</v>
      </c>
      <c r="D8" s="50"/>
      <c r="E8" s="60"/>
    </row>
    <row r="9" spans="2:8">
      <c r="B9" s="27">
        <v>7</v>
      </c>
      <c r="C9" s="28" t="s">
        <v>39</v>
      </c>
      <c r="D9" s="57"/>
      <c r="E9" s="60"/>
    </row>
    <row r="10" spans="2:8">
      <c r="B10" s="27">
        <v>8</v>
      </c>
      <c r="C10" s="28" t="s">
        <v>51</v>
      </c>
      <c r="D10" s="59"/>
    </row>
    <row r="11" spans="2:8">
      <c r="B11" s="27"/>
      <c r="C11" s="28"/>
    </row>
    <row r="16" spans="2:8" ht="15.75">
      <c r="B16" s="64" t="s">
        <v>69</v>
      </c>
      <c r="C16" s="64"/>
      <c r="D16" s="64"/>
      <c r="E16" s="64"/>
      <c r="F16" s="64"/>
      <c r="G16" s="61" t="s">
        <v>74</v>
      </c>
    </row>
    <row r="17" spans="2:7" ht="48.75" customHeight="1">
      <c r="B17" s="62" t="s">
        <v>70</v>
      </c>
      <c r="C17" s="63" t="s">
        <v>71</v>
      </c>
      <c r="D17" s="63"/>
      <c r="E17" s="63"/>
      <c r="F17" s="63"/>
      <c r="G17" s="66" t="s">
        <v>75</v>
      </c>
    </row>
    <row r="18" spans="2:7" ht="46.5" customHeight="1">
      <c r="B18" s="62" t="s">
        <v>72</v>
      </c>
      <c r="C18" s="63" t="s">
        <v>83</v>
      </c>
      <c r="D18" s="63"/>
      <c r="E18" s="63"/>
      <c r="F18" s="63"/>
      <c r="G18" s="66"/>
    </row>
    <row r="19" spans="2:7" ht="48" customHeight="1">
      <c r="B19" s="62" t="s">
        <v>73</v>
      </c>
      <c r="C19" s="65" t="s">
        <v>84</v>
      </c>
      <c r="D19" s="65"/>
      <c r="E19" s="65"/>
      <c r="F19" s="65"/>
      <c r="G19" s="66"/>
    </row>
    <row r="23" spans="2:7" ht="15.75">
      <c r="C23" s="67" t="s">
        <v>76</v>
      </c>
      <c r="D23" s="67"/>
      <c r="E23" s="67"/>
      <c r="F23" s="67"/>
      <c r="G23" s="67"/>
    </row>
    <row r="24" spans="2:7" ht="45.75" customHeight="1">
      <c r="B24" s="62" t="s">
        <v>77</v>
      </c>
      <c r="C24" s="63" t="s">
        <v>85</v>
      </c>
      <c r="D24" s="63"/>
      <c r="E24" s="63"/>
      <c r="F24" s="63"/>
    </row>
    <row r="25" spans="2:7" ht="60.75" customHeight="1">
      <c r="B25" s="62" t="s">
        <v>78</v>
      </c>
      <c r="C25" s="63" t="s">
        <v>86</v>
      </c>
      <c r="D25" s="63"/>
      <c r="E25" s="63"/>
      <c r="F25" s="63"/>
    </row>
    <row r="26" spans="2:7" ht="32.25" customHeight="1">
      <c r="B26" s="62" t="s">
        <v>79</v>
      </c>
      <c r="C26" s="63" t="s">
        <v>87</v>
      </c>
      <c r="D26" s="63"/>
      <c r="E26" s="63"/>
      <c r="F26" s="63"/>
    </row>
    <row r="27" spans="2:7" ht="62.25" customHeight="1">
      <c r="B27" s="62" t="s">
        <v>80</v>
      </c>
      <c r="C27" s="63" t="s">
        <v>88</v>
      </c>
      <c r="D27" s="63"/>
      <c r="E27" s="63"/>
      <c r="F27" s="63"/>
    </row>
    <row r="28" spans="2:7" ht="51" customHeight="1">
      <c r="B28" s="62" t="s">
        <v>81</v>
      </c>
      <c r="C28" s="63" t="s">
        <v>89</v>
      </c>
      <c r="D28" s="63"/>
      <c r="E28" s="63"/>
      <c r="F28" s="63"/>
    </row>
    <row r="29" spans="2:7" ht="36" customHeight="1">
      <c r="B29" s="62" t="s">
        <v>82</v>
      </c>
      <c r="C29" s="63" t="s">
        <v>90</v>
      </c>
      <c r="D29" s="63"/>
      <c r="E29" s="63"/>
      <c r="F29" s="63"/>
    </row>
    <row r="32" spans="2:7">
      <c r="B32" s="3" t="s">
        <v>91</v>
      </c>
    </row>
    <row r="34" spans="2:2">
      <c r="B34" s="3"/>
    </row>
  </sheetData>
  <mergeCells count="12">
    <mergeCell ref="G17:G19"/>
    <mergeCell ref="C23:G23"/>
    <mergeCell ref="C24:F24"/>
    <mergeCell ref="C25:F25"/>
    <mergeCell ref="C26:F26"/>
    <mergeCell ref="C27:F27"/>
    <mergeCell ref="C28:F28"/>
    <mergeCell ref="C29:F29"/>
    <mergeCell ref="B16:F16"/>
    <mergeCell ref="C17:F17"/>
    <mergeCell ref="C18:F18"/>
    <mergeCell ref="C19:F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33"/>
  <sheetViews>
    <sheetView topLeftCell="A19" zoomScale="85" zoomScaleNormal="85" workbookViewId="0">
      <selection activeCell="K5" sqref="K5"/>
    </sheetView>
  </sheetViews>
  <sheetFormatPr defaultRowHeight="15"/>
  <cols>
    <col min="2" max="2" width="20" customWidth="1"/>
    <col min="10" max="11" width="10.28515625" bestFit="1" customWidth="1"/>
    <col min="12" max="13" width="9.140625" style="41"/>
    <col min="14" max="14" width="18.5703125" style="41" customWidth="1"/>
    <col min="15" max="20" width="9.140625" style="41"/>
    <col min="21" max="21" width="10.85546875" style="41" customWidth="1"/>
    <col min="22" max="22" width="9.140625" style="41"/>
    <col min="26" max="26" width="18.28515625" customWidth="1"/>
    <col min="33" max="33" width="9.85546875" customWidth="1"/>
    <col min="34" max="34" width="10.7109375" customWidth="1"/>
    <col min="35" max="35" width="10.85546875" customWidth="1"/>
    <col min="39" max="39" width="16.7109375" customWidth="1"/>
    <col min="48" max="48" width="9.140625" customWidth="1"/>
  </cols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48">
      <c r="A2" s="102" t="s">
        <v>6</v>
      </c>
      <c r="B2" s="102"/>
      <c r="C2" s="102"/>
      <c r="D2" s="102"/>
      <c r="E2" s="102"/>
      <c r="F2" s="102"/>
      <c r="G2" s="102"/>
    </row>
    <row r="3" spans="1:48">
      <c r="A3" s="1">
        <v>5</v>
      </c>
      <c r="B3" t="s">
        <v>7</v>
      </c>
      <c r="C3">
        <v>343</v>
      </c>
      <c r="D3">
        <v>2551</v>
      </c>
      <c r="E3">
        <v>0.32575124502182012</v>
      </c>
      <c r="F3">
        <v>5.5855646133422852</v>
      </c>
      <c r="G3">
        <v>3.932001113891602</v>
      </c>
      <c r="I3" s="107" t="s">
        <v>68</v>
      </c>
      <c r="J3" s="107"/>
      <c r="K3" s="107"/>
      <c r="L3" s="107"/>
      <c r="M3" s="107"/>
      <c r="N3" s="107"/>
    </row>
    <row r="4" spans="1:48">
      <c r="A4" s="1">
        <v>3</v>
      </c>
      <c r="B4" t="s">
        <v>8</v>
      </c>
      <c r="C4">
        <v>206</v>
      </c>
      <c r="D4">
        <v>1442</v>
      </c>
      <c r="E4">
        <v>5.8221757411956787E-2</v>
      </c>
      <c r="F4">
        <v>4.8449845314025879</v>
      </c>
      <c r="G4">
        <v>3.842708826065063</v>
      </c>
      <c r="I4" s="107"/>
      <c r="J4" s="107"/>
      <c r="K4" s="107"/>
      <c r="L4" s="107"/>
      <c r="M4" s="107"/>
      <c r="N4" s="107"/>
    </row>
    <row r="5" spans="1:48" ht="15.75" thickBot="1">
      <c r="A5" s="1">
        <v>0</v>
      </c>
      <c r="B5" t="s">
        <v>9</v>
      </c>
      <c r="C5">
        <v>14</v>
      </c>
      <c r="D5">
        <v>1217</v>
      </c>
      <c r="E5">
        <v>0.12667298316955569</v>
      </c>
      <c r="F5">
        <v>1.161953926086426</v>
      </c>
      <c r="G5">
        <v>0.96555805206298828</v>
      </c>
    </row>
    <row r="6" spans="1:48">
      <c r="A6" s="1">
        <v>4</v>
      </c>
      <c r="B6" t="s">
        <v>10</v>
      </c>
      <c r="C6">
        <v>265</v>
      </c>
      <c r="D6">
        <v>1856</v>
      </c>
      <c r="E6">
        <v>7.6602399349212646E-2</v>
      </c>
      <c r="F6">
        <v>3.7787997722625728</v>
      </c>
      <c r="G6">
        <v>2.94941258430481</v>
      </c>
      <c r="M6" s="92">
        <v>1</v>
      </c>
      <c r="Y6" s="92">
        <v>2</v>
      </c>
      <c r="AL6" s="94">
        <v>3</v>
      </c>
    </row>
    <row r="7" spans="1:48" ht="15.75" thickBot="1">
      <c r="A7" s="1">
        <v>2</v>
      </c>
      <c r="B7" t="s">
        <v>11</v>
      </c>
      <c r="C7">
        <v>169</v>
      </c>
      <c r="D7">
        <v>1238</v>
      </c>
      <c r="E7">
        <v>2.5448918342590329E-2</v>
      </c>
      <c r="F7">
        <v>27.393180847167969</v>
      </c>
      <c r="G7">
        <v>12.670090675354</v>
      </c>
      <c r="M7" s="93"/>
      <c r="Y7" s="93"/>
      <c r="AL7" s="95"/>
    </row>
    <row r="8" spans="1:48" ht="15" customHeight="1">
      <c r="A8" s="1">
        <v>1</v>
      </c>
      <c r="B8" t="s">
        <v>12</v>
      </c>
      <c r="C8">
        <v>173</v>
      </c>
      <c r="D8">
        <v>1236</v>
      </c>
      <c r="E8">
        <v>-1.488651037216187</v>
      </c>
      <c r="F8">
        <v>5.015993595123291</v>
      </c>
      <c r="G8">
        <v>4.0025458335876456</v>
      </c>
      <c r="M8" s="100" t="s">
        <v>47</v>
      </c>
      <c r="N8" s="101"/>
      <c r="O8" s="101"/>
      <c r="P8" s="101"/>
      <c r="Q8" s="101"/>
      <c r="R8" s="101"/>
      <c r="S8" s="101"/>
      <c r="T8" s="101"/>
      <c r="U8" s="101"/>
      <c r="V8" s="101"/>
      <c r="W8" s="101"/>
      <c r="Y8" s="99" t="s">
        <v>45</v>
      </c>
      <c r="Z8" s="99"/>
      <c r="AA8" s="99"/>
      <c r="AB8" s="99"/>
      <c r="AC8" s="99"/>
      <c r="AD8" s="99"/>
      <c r="AE8" s="99"/>
      <c r="AF8" s="99"/>
      <c r="AG8" s="99"/>
      <c r="AH8" s="99"/>
      <c r="AI8" s="99"/>
      <c r="AL8" s="98" t="s">
        <v>46</v>
      </c>
      <c r="AM8" s="98"/>
      <c r="AN8" s="98"/>
      <c r="AO8" s="98"/>
      <c r="AP8" s="98"/>
      <c r="AQ8" s="98"/>
      <c r="AR8" s="98"/>
      <c r="AS8" s="98"/>
      <c r="AT8" s="98"/>
      <c r="AU8" s="98"/>
      <c r="AV8" s="98"/>
    </row>
    <row r="9" spans="1:48" ht="15" customHeight="1">
      <c r="A9" s="1">
        <v>6</v>
      </c>
      <c r="B9" t="s">
        <v>13</v>
      </c>
      <c r="C9">
        <v>374</v>
      </c>
      <c r="D9">
        <v>2621</v>
      </c>
      <c r="E9">
        <v>6.3150584697723389E-2</v>
      </c>
      <c r="F9">
        <v>4.4226374626159668</v>
      </c>
      <c r="G9">
        <v>3.521329402923584</v>
      </c>
      <c r="M9" s="100"/>
      <c r="N9" s="101"/>
      <c r="O9" s="101"/>
      <c r="P9" s="101"/>
      <c r="Q9" s="101"/>
      <c r="R9" s="101"/>
      <c r="S9" s="101"/>
      <c r="T9" s="101"/>
      <c r="U9" s="101"/>
      <c r="V9" s="101"/>
      <c r="W9" s="101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</row>
    <row r="10" spans="1:48" ht="15" customHeight="1">
      <c r="A10" s="1">
        <v>7</v>
      </c>
      <c r="B10" t="s">
        <v>14</v>
      </c>
      <c r="C10">
        <v>1646</v>
      </c>
      <c r="D10">
        <v>11757</v>
      </c>
      <c r="E10">
        <v>-3.3409774303436279E-2</v>
      </c>
      <c r="F10">
        <v>19.76688385009766</v>
      </c>
      <c r="G10">
        <v>8.6449875831604004</v>
      </c>
      <c r="M10" s="105" t="s">
        <v>59</v>
      </c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AL10" s="78" t="s">
        <v>61</v>
      </c>
      <c r="AM10" s="78"/>
      <c r="AN10" s="78"/>
      <c r="AO10" s="78"/>
      <c r="AP10" s="78"/>
      <c r="AQ10" s="78"/>
      <c r="AR10" s="78"/>
      <c r="AS10" s="78"/>
      <c r="AT10" s="78"/>
      <c r="AU10" s="78"/>
      <c r="AV10" s="78"/>
    </row>
    <row r="11" spans="1:48">
      <c r="M11" s="106" t="s">
        <v>60</v>
      </c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</row>
    <row r="12" spans="1:48">
      <c r="A12" s="103" t="s">
        <v>15</v>
      </c>
      <c r="B12" s="103"/>
      <c r="C12" s="103"/>
      <c r="D12" s="103"/>
      <c r="E12" s="103"/>
      <c r="F12" s="103"/>
      <c r="G12" s="103"/>
      <c r="N12" s="68" t="s">
        <v>43</v>
      </c>
      <c r="O12" s="68"/>
      <c r="P12" s="68"/>
      <c r="Q12" s="68"/>
      <c r="R12" s="68"/>
      <c r="S12" s="68"/>
      <c r="W12" s="41"/>
      <c r="Z12" s="68" t="s">
        <v>43</v>
      </c>
      <c r="AA12" s="68"/>
      <c r="AB12" s="68"/>
      <c r="AC12" s="68"/>
      <c r="AD12" s="68"/>
      <c r="AE12" s="68"/>
      <c r="AL12" s="36"/>
      <c r="AM12" s="68" t="s">
        <v>43</v>
      </c>
      <c r="AN12" s="68"/>
      <c r="AO12" s="68"/>
      <c r="AP12" s="68"/>
      <c r="AQ12" s="68"/>
      <c r="AR12" s="68"/>
      <c r="AS12" s="36"/>
      <c r="AT12" s="36"/>
      <c r="AU12" s="36"/>
      <c r="AV12" s="36"/>
    </row>
    <row r="13" spans="1:48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I13" s="2" t="s">
        <v>17</v>
      </c>
      <c r="J13" s="2" t="s">
        <v>18</v>
      </c>
      <c r="K13" s="2" t="s">
        <v>18</v>
      </c>
      <c r="L13" s="4"/>
      <c r="M13" s="45"/>
      <c r="N13" s="46" t="s">
        <v>0</v>
      </c>
      <c r="O13" s="46" t="s">
        <v>1</v>
      </c>
      <c r="P13" s="46" t="s">
        <v>2</v>
      </c>
      <c r="Q13" s="46" t="s">
        <v>3</v>
      </c>
      <c r="R13" s="46" t="s">
        <v>4</v>
      </c>
      <c r="S13" s="46" t="s">
        <v>5</v>
      </c>
      <c r="U13" s="2" t="s">
        <v>17</v>
      </c>
      <c r="V13" s="2" t="s">
        <v>18</v>
      </c>
      <c r="W13" s="2" t="s">
        <v>18</v>
      </c>
      <c r="Y13" s="32"/>
      <c r="Z13" s="33" t="s">
        <v>0</v>
      </c>
      <c r="AA13" s="33" t="s">
        <v>1</v>
      </c>
      <c r="AB13" s="33" t="s">
        <v>2</v>
      </c>
      <c r="AC13" s="33" t="s">
        <v>3</v>
      </c>
      <c r="AD13" s="33" t="s">
        <v>4</v>
      </c>
      <c r="AE13" s="33" t="s">
        <v>5</v>
      </c>
      <c r="AF13" s="32"/>
      <c r="AG13" s="2" t="s">
        <v>17</v>
      </c>
      <c r="AH13" s="2" t="s">
        <v>18</v>
      </c>
      <c r="AI13" s="2" t="s">
        <v>18</v>
      </c>
      <c r="AL13" s="39"/>
      <c r="AM13" s="40" t="s">
        <v>0</v>
      </c>
      <c r="AN13" s="40" t="s">
        <v>1</v>
      </c>
      <c r="AO13" s="40" t="s">
        <v>2</v>
      </c>
      <c r="AP13" s="40" t="s">
        <v>3</v>
      </c>
      <c r="AQ13" s="40" t="s">
        <v>4</v>
      </c>
      <c r="AR13" s="40" t="s">
        <v>5</v>
      </c>
      <c r="AS13" s="36"/>
      <c r="AT13" s="2" t="s">
        <v>17</v>
      </c>
      <c r="AU13" s="2" t="s">
        <v>18</v>
      </c>
      <c r="AV13" s="2" t="s">
        <v>18</v>
      </c>
    </row>
    <row r="14" spans="1:48">
      <c r="A14" s="1">
        <v>7</v>
      </c>
      <c r="B14" t="s">
        <v>7</v>
      </c>
      <c r="C14">
        <v>517</v>
      </c>
      <c r="D14">
        <v>517</v>
      </c>
      <c r="E14">
        <v>0.14053839445114141</v>
      </c>
      <c r="F14">
        <v>4.0568380355834961</v>
      </c>
      <c r="G14">
        <v>2.8602461814880371</v>
      </c>
      <c r="I14" s="2">
        <f t="shared" ref="I14:I21" si="0">E14-E3</f>
        <v>-0.18521285057067871</v>
      </c>
      <c r="J14" s="2">
        <f t="shared" ref="J14:K21" si="1">F3-F14</f>
        <v>1.5287265777587891</v>
      </c>
      <c r="K14" s="2">
        <f t="shared" si="1"/>
        <v>1.0717549324035649</v>
      </c>
      <c r="L14" s="4"/>
      <c r="M14" s="46">
        <v>7</v>
      </c>
      <c r="N14" s="45" t="s">
        <v>7</v>
      </c>
      <c r="O14" s="45">
        <v>0</v>
      </c>
      <c r="P14" s="45">
        <v>497</v>
      </c>
      <c r="Q14" s="45">
        <v>0.75177651643753052</v>
      </c>
      <c r="R14" s="45">
        <v>3.4586939811706539</v>
      </c>
      <c r="S14" s="45">
        <v>2.594048023223877</v>
      </c>
      <c r="U14" s="2">
        <f t="shared" ref="U14:U21" si="2">Q14-E3</f>
        <v>0.42602527141571039</v>
      </c>
      <c r="V14" s="2">
        <f t="shared" ref="V14:W21" si="3">F3-R14</f>
        <v>2.1268706321716313</v>
      </c>
      <c r="W14" s="2">
        <f t="shared" si="3"/>
        <v>1.3379530906677251</v>
      </c>
      <c r="Y14" s="33">
        <v>7</v>
      </c>
      <c r="Z14" s="32" t="s">
        <v>7</v>
      </c>
      <c r="AA14" s="32">
        <v>0</v>
      </c>
      <c r="AB14" s="32">
        <v>497</v>
      </c>
      <c r="AC14" s="32">
        <v>0.75760155916213989</v>
      </c>
      <c r="AD14" s="32">
        <v>3.4178705215454102</v>
      </c>
      <c r="AE14" s="32">
        <v>2.560124397277832</v>
      </c>
      <c r="AF14" s="32"/>
      <c r="AG14" s="2">
        <f t="shared" ref="AG14:AG21" si="4">AC14-E3</f>
        <v>0.43185031414031977</v>
      </c>
      <c r="AH14" s="2">
        <f t="shared" ref="AH14:AI21" si="5">F3-AD14</f>
        <v>2.167694091796875</v>
      </c>
      <c r="AI14" s="2">
        <f t="shared" si="5"/>
        <v>1.37187671661377</v>
      </c>
      <c r="AL14" s="40">
        <v>7</v>
      </c>
      <c r="AM14" s="39" t="s">
        <v>7</v>
      </c>
      <c r="AN14" s="39">
        <v>0</v>
      </c>
      <c r="AO14" s="39">
        <v>517</v>
      </c>
      <c r="AP14" s="39">
        <v>0.1159856915473938</v>
      </c>
      <c r="AQ14" s="39">
        <v>4.1143770217895508</v>
      </c>
      <c r="AR14" s="39">
        <v>2.9299426078796391</v>
      </c>
      <c r="AS14" s="36"/>
      <c r="AT14" s="2">
        <f t="shared" ref="AT14:AT21" si="6">AP14-E3</f>
        <v>-0.20976555347442633</v>
      </c>
      <c r="AU14" s="2">
        <f t="shared" ref="AU14:AV21" si="7">F3-AQ14</f>
        <v>1.4711875915527344</v>
      </c>
      <c r="AV14" s="2">
        <f t="shared" si="7"/>
        <v>1.0020585060119629</v>
      </c>
    </row>
    <row r="15" spans="1:48">
      <c r="A15" s="1">
        <v>1</v>
      </c>
      <c r="B15" t="s">
        <v>8</v>
      </c>
      <c r="C15">
        <v>207</v>
      </c>
      <c r="D15">
        <v>207</v>
      </c>
      <c r="E15">
        <v>-0.16968691349029541</v>
      </c>
      <c r="F15">
        <v>5.258638858795166</v>
      </c>
      <c r="G15">
        <v>4.223238468170166</v>
      </c>
      <c r="I15" s="2">
        <f t="shared" si="0"/>
        <v>-0.2279086709022522</v>
      </c>
      <c r="J15" s="2">
        <f t="shared" si="1"/>
        <v>-0.41365432739257813</v>
      </c>
      <c r="K15" s="2">
        <f t="shared" si="1"/>
        <v>-0.38052964210510298</v>
      </c>
      <c r="L15" s="4"/>
      <c r="M15" s="46">
        <v>2</v>
      </c>
      <c r="N15" s="45" t="s">
        <v>8</v>
      </c>
      <c r="O15" s="45">
        <v>0</v>
      </c>
      <c r="P15" s="45">
        <v>214</v>
      </c>
      <c r="Q15" s="45">
        <v>0.83746546506881714</v>
      </c>
      <c r="R15" s="45">
        <v>5.540647029876709</v>
      </c>
      <c r="S15" s="45">
        <v>4.3791003227233887</v>
      </c>
      <c r="U15" s="2">
        <f t="shared" si="2"/>
        <v>0.77924370765686035</v>
      </c>
      <c r="V15" s="2">
        <f t="shared" si="3"/>
        <v>-0.69566249847412109</v>
      </c>
      <c r="W15" s="2">
        <f t="shared" si="3"/>
        <v>-0.53639149665832564</v>
      </c>
      <c r="Y15" s="33">
        <v>2</v>
      </c>
      <c r="Z15" s="32" t="s">
        <v>8</v>
      </c>
      <c r="AA15" s="32">
        <v>0</v>
      </c>
      <c r="AB15" s="32">
        <v>214</v>
      </c>
      <c r="AC15" s="32">
        <v>0.8831971287727356</v>
      </c>
      <c r="AD15" s="32">
        <v>4.6969332695007324</v>
      </c>
      <c r="AE15" s="32">
        <v>3.691026926040649</v>
      </c>
      <c r="AF15" s="32"/>
      <c r="AG15" s="2">
        <f t="shared" si="4"/>
        <v>0.82497537136077881</v>
      </c>
      <c r="AH15" s="2">
        <f t="shared" si="5"/>
        <v>0.14805126190185547</v>
      </c>
      <c r="AI15" s="2">
        <f t="shared" si="5"/>
        <v>0.15168190002441406</v>
      </c>
      <c r="AL15" s="40">
        <v>1</v>
      </c>
      <c r="AM15" s="39" t="s">
        <v>8</v>
      </c>
      <c r="AN15" s="39">
        <v>0</v>
      </c>
      <c r="AO15" s="39">
        <v>207</v>
      </c>
      <c r="AP15" s="39">
        <v>-0.43284916877746582</v>
      </c>
      <c r="AQ15" s="39">
        <v>5.8202114105224609</v>
      </c>
      <c r="AR15" s="39">
        <v>4.7825603485107422</v>
      </c>
      <c r="AS15" s="36"/>
      <c r="AT15" s="2">
        <f t="shared" si="6"/>
        <v>-0.49107092618942261</v>
      </c>
      <c r="AU15" s="2">
        <f t="shared" si="7"/>
        <v>-0.97522687911987305</v>
      </c>
      <c r="AV15" s="2">
        <f t="shared" si="7"/>
        <v>-0.93985152244567916</v>
      </c>
    </row>
    <row r="16" spans="1:48">
      <c r="A16" s="1">
        <v>3</v>
      </c>
      <c r="B16" t="s">
        <v>9</v>
      </c>
      <c r="C16">
        <v>230</v>
      </c>
      <c r="D16">
        <v>230</v>
      </c>
      <c r="E16">
        <v>0.19244557619094849</v>
      </c>
      <c r="F16">
        <v>4.6932530403137207</v>
      </c>
      <c r="G16">
        <v>3.5914385318756099</v>
      </c>
      <c r="I16" s="2">
        <f t="shared" si="0"/>
        <v>6.5772593021392795E-2</v>
      </c>
      <c r="J16" s="2">
        <f t="shared" si="1"/>
        <v>-3.5312991142272949</v>
      </c>
      <c r="K16" s="2">
        <f t="shared" si="1"/>
        <v>-2.6258804798126216</v>
      </c>
      <c r="L16" s="4"/>
      <c r="M16" s="46">
        <v>1</v>
      </c>
      <c r="N16" s="45" t="s">
        <v>9</v>
      </c>
      <c r="O16" s="45">
        <v>0</v>
      </c>
      <c r="P16" s="45">
        <v>196</v>
      </c>
      <c r="Q16" s="45">
        <v>0.69445967674255371</v>
      </c>
      <c r="R16" s="45">
        <v>4.134547233581543</v>
      </c>
      <c r="S16" s="45">
        <v>2.92132568359375</v>
      </c>
      <c r="U16" s="2">
        <f t="shared" si="2"/>
        <v>0.56778669357299805</v>
      </c>
      <c r="V16" s="2">
        <f t="shared" si="3"/>
        <v>-2.9725933074951172</v>
      </c>
      <c r="W16" s="2">
        <f t="shared" si="3"/>
        <v>-1.9557676315307617</v>
      </c>
      <c r="Y16" s="33">
        <v>1</v>
      </c>
      <c r="Z16" s="32" t="s">
        <v>9</v>
      </c>
      <c r="AA16" s="32">
        <v>0</v>
      </c>
      <c r="AB16" s="32">
        <v>196</v>
      </c>
      <c r="AC16" s="32">
        <v>0.73785519599914551</v>
      </c>
      <c r="AD16" s="32">
        <v>3.8296959400177002</v>
      </c>
      <c r="AE16" s="32">
        <v>2.8516864776611328</v>
      </c>
      <c r="AF16" s="32"/>
      <c r="AG16" s="2">
        <f t="shared" si="4"/>
        <v>0.61118221282958984</v>
      </c>
      <c r="AH16" s="2">
        <f t="shared" si="5"/>
        <v>-2.6677420139312744</v>
      </c>
      <c r="AI16" s="2">
        <f t="shared" si="5"/>
        <v>-1.8861284255981445</v>
      </c>
      <c r="AL16" s="40">
        <v>3</v>
      </c>
      <c r="AM16" s="39" t="s">
        <v>9</v>
      </c>
      <c r="AN16" s="39">
        <v>0</v>
      </c>
      <c r="AO16" s="39">
        <v>230</v>
      </c>
      <c r="AP16" s="39">
        <v>0.26749527454376221</v>
      </c>
      <c r="AQ16" s="39">
        <v>4.469853401184082</v>
      </c>
      <c r="AR16" s="39">
        <v>3.4414608478546138</v>
      </c>
      <c r="AS16" s="36"/>
      <c r="AT16" s="2">
        <f t="shared" si="6"/>
        <v>0.14082229137420652</v>
      </c>
      <c r="AU16" s="2">
        <f t="shared" si="7"/>
        <v>-3.3078994750976563</v>
      </c>
      <c r="AV16" s="2">
        <f t="shared" si="7"/>
        <v>-2.4759027957916255</v>
      </c>
    </row>
    <row r="17" spans="1:51">
      <c r="A17" s="1">
        <v>6</v>
      </c>
      <c r="B17" t="s">
        <v>10</v>
      </c>
      <c r="C17">
        <v>483</v>
      </c>
      <c r="D17">
        <v>483</v>
      </c>
      <c r="E17">
        <v>-0.13266432285308841</v>
      </c>
      <c r="F17">
        <v>5.3790693283081046</v>
      </c>
      <c r="G17">
        <v>4.0271811485290527</v>
      </c>
      <c r="I17" s="2">
        <f t="shared" si="0"/>
        <v>-0.20926672220230105</v>
      </c>
      <c r="J17" s="2">
        <f t="shared" si="1"/>
        <v>-1.6002695560455318</v>
      </c>
      <c r="K17" s="2">
        <f t="shared" si="1"/>
        <v>-1.0777685642242427</v>
      </c>
      <c r="L17" s="4"/>
      <c r="M17" s="46">
        <v>6</v>
      </c>
      <c r="N17" s="45" t="s">
        <v>10</v>
      </c>
      <c r="O17" s="45">
        <v>0</v>
      </c>
      <c r="P17" s="45">
        <v>459</v>
      </c>
      <c r="Q17" s="45">
        <v>0.84307467937469482</v>
      </c>
      <c r="R17" s="45">
        <v>8.4222278594970703</v>
      </c>
      <c r="S17" s="45">
        <v>5.0025873184204102</v>
      </c>
      <c r="U17" s="2">
        <f t="shared" si="2"/>
        <v>0.76647228002548218</v>
      </c>
      <c r="V17" s="2">
        <f t="shared" si="3"/>
        <v>-4.6434280872344971</v>
      </c>
      <c r="W17" s="2">
        <f t="shared" si="3"/>
        <v>-2.0531747341156001</v>
      </c>
      <c r="Y17" s="33">
        <v>6</v>
      </c>
      <c r="Z17" s="32" t="s">
        <v>10</v>
      </c>
      <c r="AA17" s="32">
        <v>0</v>
      </c>
      <c r="AB17" s="32">
        <v>459</v>
      </c>
      <c r="AC17" s="32">
        <v>0.84258800745010376</v>
      </c>
      <c r="AD17" s="32">
        <v>8.435276985168457</v>
      </c>
      <c r="AE17" s="32">
        <v>5.0472750663757324</v>
      </c>
      <c r="AF17" s="32"/>
      <c r="AG17" s="2">
        <f t="shared" si="4"/>
        <v>0.76598560810089111</v>
      </c>
      <c r="AH17" s="2">
        <f t="shared" si="5"/>
        <v>-4.6564772129058838</v>
      </c>
      <c r="AI17" s="2">
        <f t="shared" si="5"/>
        <v>-2.0978624820709224</v>
      </c>
      <c r="AL17" s="40">
        <v>6</v>
      </c>
      <c r="AM17" s="39" t="s">
        <v>10</v>
      </c>
      <c r="AN17" s="39">
        <v>0</v>
      </c>
      <c r="AO17" s="39">
        <v>483</v>
      </c>
      <c r="AP17" s="39">
        <v>-0.1110098361968994</v>
      </c>
      <c r="AQ17" s="39">
        <v>5.3274025917053223</v>
      </c>
      <c r="AR17" s="39">
        <v>3.967537641525269</v>
      </c>
      <c r="AS17" s="36"/>
      <c r="AT17" s="2">
        <f t="shared" si="6"/>
        <v>-0.18761223554611206</v>
      </c>
      <c r="AU17" s="2">
        <f t="shared" si="7"/>
        <v>-1.5486028194427495</v>
      </c>
      <c r="AV17" s="2">
        <f t="shared" si="7"/>
        <v>-1.018125057220459</v>
      </c>
    </row>
    <row r="18" spans="1:51">
      <c r="A18" s="1">
        <v>0</v>
      </c>
      <c r="B18" t="s">
        <v>11</v>
      </c>
      <c r="C18">
        <v>62</v>
      </c>
      <c r="D18">
        <v>62</v>
      </c>
      <c r="E18">
        <v>-0.28494584560394293</v>
      </c>
      <c r="F18">
        <v>3.4541628360748291</v>
      </c>
      <c r="G18">
        <v>2.6832456588745122</v>
      </c>
      <c r="I18" s="2">
        <f t="shared" si="0"/>
        <v>-0.31039476394653326</v>
      </c>
      <c r="J18" s="2">
        <f t="shared" si="1"/>
        <v>23.93901801109314</v>
      </c>
      <c r="K18" s="2">
        <f t="shared" si="1"/>
        <v>9.9868450164794886</v>
      </c>
      <c r="L18" s="4"/>
      <c r="M18" s="46">
        <v>0</v>
      </c>
      <c r="N18" s="45" t="s">
        <v>11</v>
      </c>
      <c r="O18" s="45">
        <v>0</v>
      </c>
      <c r="P18" s="45">
        <v>65</v>
      </c>
      <c r="Q18" s="45">
        <v>0.90683162212371826</v>
      </c>
      <c r="R18" s="45">
        <v>5.636681079864502</v>
      </c>
      <c r="S18" s="45">
        <v>3.910000085830688</v>
      </c>
      <c r="U18" s="2">
        <f t="shared" si="2"/>
        <v>0.88138270378112793</v>
      </c>
      <c r="V18" s="2">
        <f t="shared" si="3"/>
        <v>21.756499767303467</v>
      </c>
      <c r="W18" s="2">
        <f t="shared" si="3"/>
        <v>8.7600905895233119</v>
      </c>
      <c r="Y18" s="33">
        <v>0</v>
      </c>
      <c r="Z18" s="32" t="s">
        <v>11</v>
      </c>
      <c r="AA18" s="32">
        <v>0</v>
      </c>
      <c r="AB18" s="32">
        <v>65</v>
      </c>
      <c r="AC18" s="32">
        <v>0.8989408016204834</v>
      </c>
      <c r="AD18" s="32">
        <v>5.8705277442932129</v>
      </c>
      <c r="AE18" s="32">
        <v>3.96696925163269</v>
      </c>
      <c r="AF18" s="32"/>
      <c r="AG18" s="2">
        <f t="shared" si="4"/>
        <v>0.87349188327789307</v>
      </c>
      <c r="AH18" s="2">
        <f t="shared" si="5"/>
        <v>21.522653102874756</v>
      </c>
      <c r="AI18" s="2">
        <f t="shared" si="5"/>
        <v>8.7031214237213099</v>
      </c>
      <c r="AL18" s="40">
        <v>0</v>
      </c>
      <c r="AM18" s="39" t="s">
        <v>11</v>
      </c>
      <c r="AN18" s="39">
        <v>0</v>
      </c>
      <c r="AO18" s="39">
        <v>62</v>
      </c>
      <c r="AP18" s="39">
        <v>-0.21608436107635501</v>
      </c>
      <c r="AQ18" s="39">
        <v>3.3603324890136719</v>
      </c>
      <c r="AR18" s="39">
        <v>2.3835010528564449</v>
      </c>
      <c r="AS18" s="36"/>
      <c r="AT18" s="2">
        <f t="shared" si="6"/>
        <v>-0.24153327941894534</v>
      </c>
      <c r="AU18" s="2">
        <f t="shared" si="7"/>
        <v>24.032848358154297</v>
      </c>
      <c r="AV18" s="2">
        <f t="shared" si="7"/>
        <v>10.286589622497555</v>
      </c>
    </row>
    <row r="19" spans="1:51">
      <c r="A19" s="1">
        <v>2</v>
      </c>
      <c r="B19" t="s">
        <v>12</v>
      </c>
      <c r="C19">
        <v>221</v>
      </c>
      <c r="D19">
        <v>221</v>
      </c>
      <c r="E19">
        <v>-0.4098207950592041</v>
      </c>
      <c r="F19">
        <v>4.5042543411254883</v>
      </c>
      <c r="G19">
        <v>3.6208264827728271</v>
      </c>
      <c r="I19" s="2">
        <f t="shared" si="0"/>
        <v>1.0788302421569829</v>
      </c>
      <c r="J19" s="2">
        <f t="shared" si="1"/>
        <v>0.51173925399780273</v>
      </c>
      <c r="K19" s="2">
        <f t="shared" si="1"/>
        <v>0.38171935081481845</v>
      </c>
      <c r="L19" s="4"/>
      <c r="M19" s="46">
        <v>3</v>
      </c>
      <c r="N19" s="45" t="s">
        <v>12</v>
      </c>
      <c r="O19" s="45">
        <v>0</v>
      </c>
      <c r="P19" s="45">
        <v>219</v>
      </c>
      <c r="Q19" s="45">
        <v>0.42454731464385992</v>
      </c>
      <c r="R19" s="45">
        <v>4.0632500648498544</v>
      </c>
      <c r="S19" s="45">
        <v>3.1482067108154301</v>
      </c>
      <c r="U19" s="2">
        <f t="shared" si="2"/>
        <v>1.9131983518600468</v>
      </c>
      <c r="V19" s="2">
        <f t="shared" si="3"/>
        <v>0.95274353027343661</v>
      </c>
      <c r="W19" s="2">
        <f t="shared" si="3"/>
        <v>0.85433912277221546</v>
      </c>
      <c r="Y19" s="33">
        <v>3</v>
      </c>
      <c r="Z19" s="32" t="s">
        <v>12</v>
      </c>
      <c r="AA19" s="32">
        <v>0</v>
      </c>
      <c r="AB19" s="32">
        <v>219</v>
      </c>
      <c r="AC19" s="32">
        <v>0.56079703569412231</v>
      </c>
      <c r="AD19" s="32">
        <v>3.5497794151306148</v>
      </c>
      <c r="AE19" s="32">
        <v>2.6786708831787109</v>
      </c>
      <c r="AF19" s="32"/>
      <c r="AG19" s="2">
        <f t="shared" si="4"/>
        <v>2.0494480729103093</v>
      </c>
      <c r="AH19" s="2">
        <f t="shared" si="5"/>
        <v>1.4662141799926762</v>
      </c>
      <c r="AI19" s="2">
        <f t="shared" si="5"/>
        <v>1.3238749504089347</v>
      </c>
      <c r="AL19" s="40">
        <v>2</v>
      </c>
      <c r="AM19" s="39" t="s">
        <v>12</v>
      </c>
      <c r="AN19" s="39">
        <v>0</v>
      </c>
      <c r="AO19" s="39">
        <v>221</v>
      </c>
      <c r="AP19" s="39">
        <v>-0.41650927066802979</v>
      </c>
      <c r="AQ19" s="39">
        <v>4.5149264335632324</v>
      </c>
      <c r="AR19" s="39">
        <v>3.6350183486938481</v>
      </c>
      <c r="AS19" s="36"/>
      <c r="AT19" s="2">
        <f t="shared" si="6"/>
        <v>1.0721417665481572</v>
      </c>
      <c r="AU19" s="2">
        <f t="shared" si="7"/>
        <v>0.50106716156005859</v>
      </c>
      <c r="AV19" s="2">
        <f t="shared" si="7"/>
        <v>0.3675274848937975</v>
      </c>
    </row>
    <row r="20" spans="1:51">
      <c r="A20" s="1">
        <v>5</v>
      </c>
      <c r="B20" t="s">
        <v>13</v>
      </c>
      <c r="C20">
        <v>371</v>
      </c>
      <c r="D20">
        <v>371</v>
      </c>
      <c r="E20">
        <v>0.25344210863113398</v>
      </c>
      <c r="F20">
        <v>4.0215325355529794</v>
      </c>
      <c r="G20">
        <v>3.1060984134674068</v>
      </c>
      <c r="I20" s="2">
        <f t="shared" si="0"/>
        <v>0.19029152393341059</v>
      </c>
      <c r="J20" s="2">
        <f t="shared" si="1"/>
        <v>0.40110492706298739</v>
      </c>
      <c r="K20" s="2">
        <f t="shared" si="1"/>
        <v>0.4152309894561772</v>
      </c>
      <c r="L20" s="4"/>
      <c r="M20" s="46">
        <v>5</v>
      </c>
      <c r="N20" s="45" t="s">
        <v>13</v>
      </c>
      <c r="O20" s="45">
        <v>0</v>
      </c>
      <c r="P20" s="45">
        <v>363</v>
      </c>
      <c r="Q20" s="45">
        <v>0.74446994066238403</v>
      </c>
      <c r="R20" s="45">
        <v>3.608073472976685</v>
      </c>
      <c r="S20" s="45">
        <v>2.8981442451477051</v>
      </c>
      <c r="U20" s="2">
        <f t="shared" si="2"/>
        <v>0.68131935596466064</v>
      </c>
      <c r="V20" s="2">
        <f t="shared" si="3"/>
        <v>0.81456398963928178</v>
      </c>
      <c r="W20" s="2">
        <f t="shared" si="3"/>
        <v>0.62318515777587891</v>
      </c>
      <c r="Y20" s="33">
        <v>5</v>
      </c>
      <c r="Z20" s="32" t="s">
        <v>13</v>
      </c>
      <c r="AA20" s="32">
        <v>0</v>
      </c>
      <c r="AB20" s="32">
        <v>363</v>
      </c>
      <c r="AC20" s="32">
        <v>0.77347242832183838</v>
      </c>
      <c r="AD20" s="32">
        <v>3.3971519470214839</v>
      </c>
      <c r="AE20" s="32">
        <v>2.7641489505767818</v>
      </c>
      <c r="AF20" s="32"/>
      <c r="AG20" s="2">
        <f t="shared" si="4"/>
        <v>0.71032184362411499</v>
      </c>
      <c r="AH20" s="2">
        <f t="shared" si="5"/>
        <v>1.0254855155944829</v>
      </c>
      <c r="AI20" s="2">
        <f t="shared" si="5"/>
        <v>0.7571804523468022</v>
      </c>
      <c r="AL20" s="40">
        <v>5</v>
      </c>
      <c r="AM20" s="39" t="s">
        <v>13</v>
      </c>
      <c r="AN20" s="39">
        <v>0</v>
      </c>
      <c r="AO20" s="39">
        <v>371</v>
      </c>
      <c r="AP20" s="39">
        <v>0.18937575817108149</v>
      </c>
      <c r="AQ20" s="39">
        <v>4.1905364990234384</v>
      </c>
      <c r="AR20" s="39">
        <v>3.2726049423217769</v>
      </c>
      <c r="AS20" s="36"/>
      <c r="AT20" s="2">
        <f t="shared" si="6"/>
        <v>0.1262251734733581</v>
      </c>
      <c r="AU20" s="2">
        <f t="shared" si="7"/>
        <v>0.23210096359252841</v>
      </c>
      <c r="AV20" s="2">
        <f t="shared" si="7"/>
        <v>0.24872446060180708</v>
      </c>
    </row>
    <row r="21" spans="1:51" ht="15.75" thickBot="1">
      <c r="A21" s="1">
        <v>4</v>
      </c>
      <c r="B21" t="s">
        <v>14</v>
      </c>
      <c r="C21">
        <v>353</v>
      </c>
      <c r="D21">
        <v>353</v>
      </c>
      <c r="E21">
        <v>-0.3008723258972168</v>
      </c>
      <c r="F21">
        <v>5.4275045394897461</v>
      </c>
      <c r="G21">
        <v>3.8461928367614751</v>
      </c>
      <c r="I21" s="2">
        <f t="shared" si="0"/>
        <v>-0.26746255159378052</v>
      </c>
      <c r="J21" s="2">
        <f t="shared" si="1"/>
        <v>14.339379310607914</v>
      </c>
      <c r="K21" s="2">
        <f t="shared" si="1"/>
        <v>4.7987947463989258</v>
      </c>
      <c r="L21" s="4"/>
      <c r="M21" s="46">
        <v>4</v>
      </c>
      <c r="N21" s="45" t="s">
        <v>14</v>
      </c>
      <c r="O21" s="45">
        <v>0</v>
      </c>
      <c r="P21" s="45">
        <v>360</v>
      </c>
      <c r="Q21" s="45">
        <v>0.88110440969467163</v>
      </c>
      <c r="R21" s="45">
        <v>13.81996917724609</v>
      </c>
      <c r="S21" s="45">
        <v>7.8497109413146973</v>
      </c>
      <c r="U21" s="2">
        <f t="shared" si="2"/>
        <v>0.91451418399810791</v>
      </c>
      <c r="V21" s="2">
        <f t="shared" si="3"/>
        <v>5.9469146728515696</v>
      </c>
      <c r="W21" s="2">
        <f t="shared" si="3"/>
        <v>0.79527664184570313</v>
      </c>
      <c r="Y21" s="33">
        <v>4</v>
      </c>
      <c r="Z21" s="32" t="s">
        <v>14</v>
      </c>
      <c r="AA21" s="32">
        <v>0</v>
      </c>
      <c r="AB21" s="32">
        <v>360</v>
      </c>
      <c r="AC21" s="32">
        <v>0.89407926797866821</v>
      </c>
      <c r="AD21" s="32">
        <v>13.044118881225589</v>
      </c>
      <c r="AE21" s="32">
        <v>7.3660192489624023</v>
      </c>
      <c r="AF21" s="32"/>
      <c r="AG21" s="2">
        <f t="shared" si="4"/>
        <v>0.92748904228210449</v>
      </c>
      <c r="AH21" s="2">
        <f t="shared" si="5"/>
        <v>6.7227649688720703</v>
      </c>
      <c r="AI21" s="2">
        <f t="shared" si="5"/>
        <v>1.278968334197998</v>
      </c>
      <c r="AL21" s="40">
        <v>4</v>
      </c>
      <c r="AM21" s="39" t="s">
        <v>14</v>
      </c>
      <c r="AN21" s="39">
        <v>0</v>
      </c>
      <c r="AO21" s="39">
        <v>353</v>
      </c>
      <c r="AP21" s="39">
        <v>-0.604888916015625</v>
      </c>
      <c r="AQ21" s="39">
        <v>6.0284452438354492</v>
      </c>
      <c r="AR21" s="39">
        <v>4.4531683921813956</v>
      </c>
      <c r="AS21" s="36"/>
      <c r="AT21" s="2">
        <f t="shared" si="6"/>
        <v>-0.57147914171218872</v>
      </c>
      <c r="AU21" s="2">
        <f t="shared" si="7"/>
        <v>13.738438606262211</v>
      </c>
      <c r="AV21" s="2">
        <f t="shared" si="7"/>
        <v>4.1918191909790048</v>
      </c>
    </row>
    <row r="22" spans="1:51" ht="15.75" thickBot="1">
      <c r="H22" s="6" t="s">
        <v>19</v>
      </c>
      <c r="I22" s="7">
        <f>SUM(I14:I21)</f>
        <v>0.13464879989624062</v>
      </c>
      <c r="J22" s="7">
        <f>SUM(J14:J21)</f>
        <v>35.174745082855225</v>
      </c>
      <c r="K22" s="8">
        <f>SUM(K14:K21)</f>
        <v>12.570166349411007</v>
      </c>
      <c r="L22" s="4"/>
      <c r="M22" s="43"/>
      <c r="N22" s="43"/>
      <c r="O22" s="43"/>
      <c r="P22" s="43"/>
      <c r="Q22" s="43"/>
      <c r="R22" s="43"/>
      <c r="S22" s="43"/>
      <c r="T22" s="6" t="s">
        <v>19</v>
      </c>
      <c r="U22" s="7">
        <f>SUM(U14:U21)</f>
        <v>6.9299425482749939</v>
      </c>
      <c r="V22" s="7">
        <f>SUM(V14:V21)</f>
        <v>23.285908699035652</v>
      </c>
      <c r="W22" s="8">
        <f>SUM(W14:W21)</f>
        <v>7.825510740280146</v>
      </c>
      <c r="AF22" s="6" t="s">
        <v>19</v>
      </c>
      <c r="AG22" s="7">
        <f>SUM(AG14:AG21)</f>
        <v>7.194744348526001</v>
      </c>
      <c r="AH22" s="7">
        <f>SUM(AH14:AH21)</f>
        <v>25.728643894195557</v>
      </c>
      <c r="AI22" s="8">
        <f>SUM(AI14:AI21)</f>
        <v>9.6027128696441615</v>
      </c>
      <c r="AL22" s="36"/>
      <c r="AM22" s="36"/>
      <c r="AN22" s="36"/>
      <c r="AO22" s="36"/>
      <c r="AP22" s="36"/>
      <c r="AQ22" s="36"/>
      <c r="AR22" s="36"/>
      <c r="AS22" s="6" t="s">
        <v>19</v>
      </c>
      <c r="AT22" s="7">
        <f>SUM(AT14:AT21)</f>
        <v>-0.36227190494537315</v>
      </c>
      <c r="AU22" s="7">
        <f>SUM(AU14:AU21)</f>
        <v>34.143913507461548</v>
      </c>
      <c r="AV22" s="8">
        <f>SUM(AV14:AV21)</f>
        <v>11.662839889526364</v>
      </c>
    </row>
    <row r="23" spans="1:51">
      <c r="A23" s="103" t="s">
        <v>20</v>
      </c>
      <c r="B23" s="103"/>
      <c r="C23" s="103"/>
      <c r="D23" s="103"/>
      <c r="E23" s="103"/>
      <c r="F23" s="103"/>
      <c r="G23" s="103"/>
      <c r="M23" s="4"/>
      <c r="N23" s="68" t="s">
        <v>44</v>
      </c>
      <c r="O23" s="68"/>
      <c r="P23" s="68"/>
      <c r="Q23" s="68"/>
      <c r="R23" s="68"/>
      <c r="S23" s="68"/>
      <c r="W23" s="41"/>
      <c r="X23" s="4"/>
      <c r="Y23" s="4"/>
      <c r="Z23" s="68" t="s">
        <v>44</v>
      </c>
      <c r="AA23" s="68"/>
      <c r="AB23" s="68"/>
      <c r="AC23" s="68"/>
      <c r="AD23" s="68"/>
      <c r="AE23" s="68"/>
      <c r="AL23" s="4"/>
      <c r="AM23" s="68" t="s">
        <v>44</v>
      </c>
      <c r="AN23" s="68"/>
      <c r="AO23" s="68"/>
      <c r="AP23" s="68"/>
      <c r="AQ23" s="68"/>
      <c r="AR23" s="68"/>
      <c r="AS23" s="36"/>
      <c r="AT23" s="36"/>
      <c r="AU23" s="36"/>
      <c r="AV23" s="36"/>
    </row>
    <row r="24" spans="1:51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I24" s="2" t="s">
        <v>17</v>
      </c>
      <c r="J24" s="2" t="s">
        <v>18</v>
      </c>
      <c r="K24" s="2" t="s">
        <v>18</v>
      </c>
      <c r="L24" s="4"/>
      <c r="M24" s="47"/>
      <c r="N24" s="48" t="s">
        <v>0</v>
      </c>
      <c r="O24" s="48" t="s">
        <v>1</v>
      </c>
      <c r="P24" s="48" t="s">
        <v>2</v>
      </c>
      <c r="Q24" s="48" t="s">
        <v>3</v>
      </c>
      <c r="R24" s="48" t="s">
        <v>4</v>
      </c>
      <c r="S24" s="48" t="s">
        <v>5</v>
      </c>
      <c r="U24" s="2" t="s">
        <v>17</v>
      </c>
      <c r="V24" s="2" t="s">
        <v>18</v>
      </c>
      <c r="W24" s="2" t="s">
        <v>18</v>
      </c>
      <c r="Y24" s="34"/>
      <c r="Z24" s="35" t="s">
        <v>0</v>
      </c>
      <c r="AA24" s="35" t="s">
        <v>1</v>
      </c>
      <c r="AB24" s="35" t="s">
        <v>2</v>
      </c>
      <c r="AC24" s="35" t="s">
        <v>3</v>
      </c>
      <c r="AD24" s="35" t="s">
        <v>4</v>
      </c>
      <c r="AE24" s="35" t="s">
        <v>5</v>
      </c>
      <c r="AF24" s="34"/>
      <c r="AG24" s="2" t="s">
        <v>17</v>
      </c>
      <c r="AH24" s="2" t="s">
        <v>18</v>
      </c>
      <c r="AI24" s="2" t="s">
        <v>18</v>
      </c>
      <c r="AL24" s="37"/>
      <c r="AM24" s="38" t="s">
        <v>0</v>
      </c>
      <c r="AN24" s="38" t="s">
        <v>1</v>
      </c>
      <c r="AO24" s="38" t="s">
        <v>2</v>
      </c>
      <c r="AP24" s="38" t="s">
        <v>3</v>
      </c>
      <c r="AQ24" s="38" t="s">
        <v>4</v>
      </c>
      <c r="AR24" s="38" t="s">
        <v>5</v>
      </c>
      <c r="AS24" s="36"/>
      <c r="AT24" s="2" t="s">
        <v>17</v>
      </c>
      <c r="AU24" s="2" t="s">
        <v>18</v>
      </c>
      <c r="AV24" s="2" t="s">
        <v>18</v>
      </c>
    </row>
    <row r="25" spans="1:51">
      <c r="A25" s="1">
        <v>7</v>
      </c>
      <c r="B25" t="s">
        <v>7</v>
      </c>
      <c r="C25">
        <v>518</v>
      </c>
      <c r="D25">
        <v>518</v>
      </c>
      <c r="E25">
        <v>-0.17220330238342291</v>
      </c>
      <c r="F25">
        <v>4.4245352745056152</v>
      </c>
      <c r="G25">
        <v>3.226173877716064</v>
      </c>
      <c r="I25" s="2">
        <f t="shared" ref="I25:I32" si="8">E25-E3</f>
        <v>-0.49795454740524303</v>
      </c>
      <c r="J25" s="2">
        <f t="shared" ref="J25:K32" si="9">F3-F25</f>
        <v>1.1610293388366699</v>
      </c>
      <c r="K25" s="2">
        <f t="shared" si="9"/>
        <v>0.705827236175538</v>
      </c>
      <c r="L25" s="4"/>
      <c r="M25" s="48">
        <v>7</v>
      </c>
      <c r="N25" s="47" t="s">
        <v>7</v>
      </c>
      <c r="O25" s="47">
        <v>485</v>
      </c>
      <c r="P25" s="47">
        <v>485</v>
      </c>
      <c r="Q25" s="47">
        <v>0.7545933723449707</v>
      </c>
      <c r="R25" s="47">
        <v>3.8916540145874019</v>
      </c>
      <c r="S25" s="47">
        <v>2.9429669380187988</v>
      </c>
      <c r="U25" s="2">
        <f t="shared" ref="U25:U32" si="10">Q25-E3</f>
        <v>0.42884212732315058</v>
      </c>
      <c r="V25" s="2">
        <f t="shared" ref="V25:W32" si="11">F3-R25</f>
        <v>1.6939105987548833</v>
      </c>
      <c r="W25" s="2">
        <f t="shared" si="11"/>
        <v>0.98903417587280318</v>
      </c>
      <c r="Y25" s="35">
        <v>7</v>
      </c>
      <c r="Z25" s="34" t="s">
        <v>7</v>
      </c>
      <c r="AA25" s="34">
        <v>485</v>
      </c>
      <c r="AB25" s="34">
        <v>485</v>
      </c>
      <c r="AC25" s="34">
        <v>0.80002784729003906</v>
      </c>
      <c r="AD25" s="34">
        <v>3.5129818916320801</v>
      </c>
      <c r="AE25" s="34">
        <v>2.6748051643371582</v>
      </c>
      <c r="AF25" s="34"/>
      <c r="AG25" s="2">
        <f t="shared" ref="AG25:AG32" si="12">AC25-E3</f>
        <v>0.47427660226821894</v>
      </c>
      <c r="AH25" s="2">
        <f t="shared" ref="AH25:AI32" si="13">F3-AD25</f>
        <v>2.0725827217102051</v>
      </c>
      <c r="AI25" s="2">
        <f t="shared" si="13"/>
        <v>1.2571959495544438</v>
      </c>
      <c r="AL25" s="38">
        <v>7</v>
      </c>
      <c r="AM25" s="37" t="s">
        <v>7</v>
      </c>
      <c r="AN25" s="37">
        <v>518</v>
      </c>
      <c r="AO25" s="37">
        <v>518</v>
      </c>
      <c r="AP25" s="37">
        <v>-0.12441170215606689</v>
      </c>
      <c r="AQ25" s="37">
        <v>4.3334012031555176</v>
      </c>
      <c r="AR25" s="37">
        <v>3.168817520141602</v>
      </c>
      <c r="AS25" s="36"/>
      <c r="AT25" s="2">
        <f t="shared" ref="AT25:AT32" si="14">AP25-E3</f>
        <v>-0.45016294717788702</v>
      </c>
      <c r="AU25" s="2">
        <f t="shared" ref="AU25:AV32" si="15">F3-AQ25</f>
        <v>1.2521634101867676</v>
      </c>
      <c r="AV25" s="2">
        <f t="shared" si="15"/>
        <v>0.76318359375</v>
      </c>
    </row>
    <row r="26" spans="1:51">
      <c r="A26" s="1">
        <v>3</v>
      </c>
      <c r="B26" t="s">
        <v>8</v>
      </c>
      <c r="C26">
        <v>239</v>
      </c>
      <c r="D26">
        <v>239</v>
      </c>
      <c r="E26">
        <v>-1.5441603660583501</v>
      </c>
      <c r="F26">
        <v>6.872403621673584</v>
      </c>
      <c r="G26">
        <v>5.6469020843505859</v>
      </c>
      <c r="I26" s="2">
        <f t="shared" si="8"/>
        <v>-1.6023821234703068</v>
      </c>
      <c r="J26" s="2">
        <f t="shared" si="9"/>
        <v>-2.0274190902709961</v>
      </c>
      <c r="K26" s="2">
        <f t="shared" si="9"/>
        <v>-1.8041932582855229</v>
      </c>
      <c r="L26" s="4"/>
      <c r="M26" s="48">
        <v>1</v>
      </c>
      <c r="N26" s="47" t="s">
        <v>8</v>
      </c>
      <c r="O26" s="47">
        <v>203</v>
      </c>
      <c r="P26" s="47">
        <v>203</v>
      </c>
      <c r="Q26" s="47">
        <v>0.47385340929031372</v>
      </c>
      <c r="R26" s="47">
        <v>5.087860107421875</v>
      </c>
      <c r="S26" s="47">
        <v>4.1314077377319336</v>
      </c>
      <c r="U26" s="2">
        <f t="shared" si="10"/>
        <v>0.41563165187835693</v>
      </c>
      <c r="V26" s="2">
        <f t="shared" si="11"/>
        <v>-0.24287557601928711</v>
      </c>
      <c r="W26" s="2">
        <f t="shared" si="11"/>
        <v>-0.28869891166687056</v>
      </c>
      <c r="Y26" s="35">
        <v>1</v>
      </c>
      <c r="Z26" s="34" t="s">
        <v>8</v>
      </c>
      <c r="AA26" s="34">
        <v>203</v>
      </c>
      <c r="AB26" s="34">
        <v>203</v>
      </c>
      <c r="AC26" s="34">
        <v>0.77283340692520142</v>
      </c>
      <c r="AD26" s="34">
        <v>3.3431355953216548</v>
      </c>
      <c r="AE26" s="34">
        <v>2.6103792190551758</v>
      </c>
      <c r="AF26" s="34"/>
      <c r="AG26" s="2">
        <f t="shared" si="12"/>
        <v>0.71461164951324463</v>
      </c>
      <c r="AH26" s="2">
        <f t="shared" si="13"/>
        <v>1.5018489360809331</v>
      </c>
      <c r="AI26" s="2">
        <f t="shared" si="13"/>
        <v>1.2323296070098873</v>
      </c>
      <c r="AL26" s="38">
        <v>3</v>
      </c>
      <c r="AM26" s="37" t="s">
        <v>8</v>
      </c>
      <c r="AN26" s="37">
        <v>239</v>
      </c>
      <c r="AO26" s="37">
        <v>239</v>
      </c>
      <c r="AP26" s="37">
        <v>-1.0679862499237061</v>
      </c>
      <c r="AQ26" s="37">
        <v>6.1959829330444336</v>
      </c>
      <c r="AR26" s="37">
        <v>4.3866214752197266</v>
      </c>
      <c r="AS26" s="36"/>
      <c r="AT26" s="2">
        <f t="shared" si="14"/>
        <v>-1.1262080073356628</v>
      </c>
      <c r="AU26" s="2">
        <f t="shared" si="15"/>
        <v>-1.3509984016418457</v>
      </c>
      <c r="AV26" s="2">
        <f t="shared" si="15"/>
        <v>-0.54391264915466353</v>
      </c>
    </row>
    <row r="27" spans="1:51">
      <c r="A27" s="1">
        <v>0</v>
      </c>
      <c r="B27" t="s">
        <v>9</v>
      </c>
      <c r="C27">
        <v>14</v>
      </c>
      <c r="D27">
        <v>14</v>
      </c>
      <c r="E27">
        <v>-5.3473067283630371</v>
      </c>
      <c r="F27">
        <v>4.6558589935302734</v>
      </c>
      <c r="G27">
        <v>4.3002839088439941</v>
      </c>
      <c r="I27" s="2">
        <f t="shared" si="8"/>
        <v>-5.4739797115325928</v>
      </c>
      <c r="J27" s="2">
        <f t="shared" si="9"/>
        <v>-3.4939050674438477</v>
      </c>
      <c r="K27" s="2">
        <f t="shared" si="9"/>
        <v>-3.3347258567810059</v>
      </c>
      <c r="L27" s="4"/>
      <c r="M27" s="48">
        <v>3</v>
      </c>
      <c r="N27" s="47" t="s">
        <v>9</v>
      </c>
      <c r="O27" s="47">
        <v>280</v>
      </c>
      <c r="P27" s="47">
        <v>280</v>
      </c>
      <c r="Q27" s="47">
        <v>0.48827075958251948</v>
      </c>
      <c r="R27" s="47">
        <v>5.5204672813415527</v>
      </c>
      <c r="S27" s="47">
        <v>4.233731746673584</v>
      </c>
      <c r="U27" s="2">
        <f t="shared" si="10"/>
        <v>0.36159777641296376</v>
      </c>
      <c r="V27" s="2">
        <f t="shared" si="11"/>
        <v>-4.358513355255127</v>
      </c>
      <c r="W27" s="2">
        <f t="shared" si="11"/>
        <v>-3.2681736946105957</v>
      </c>
      <c r="Y27" s="35">
        <v>3</v>
      </c>
      <c r="Z27" s="34" t="s">
        <v>9</v>
      </c>
      <c r="AA27" s="34">
        <v>280</v>
      </c>
      <c r="AB27" s="34">
        <v>280</v>
      </c>
      <c r="AC27" s="34">
        <v>0.55698108673095703</v>
      </c>
      <c r="AD27" s="34">
        <v>5.1364951133728027</v>
      </c>
      <c r="AE27" s="34">
        <v>3.9410748481750488</v>
      </c>
      <c r="AF27" s="34"/>
      <c r="AG27" s="2">
        <f t="shared" si="12"/>
        <v>0.43030810356140137</v>
      </c>
      <c r="AH27" s="2">
        <f t="shared" si="13"/>
        <v>-3.974541187286377</v>
      </c>
      <c r="AI27" s="2">
        <f t="shared" si="13"/>
        <v>-2.9755167961120605</v>
      </c>
      <c r="AL27" s="38">
        <v>0</v>
      </c>
      <c r="AM27" s="37" t="s">
        <v>9</v>
      </c>
      <c r="AN27" s="37">
        <v>14</v>
      </c>
      <c r="AO27" s="37">
        <v>14</v>
      </c>
      <c r="AP27" s="37">
        <v>-5.0491724014282227</v>
      </c>
      <c r="AQ27" s="37">
        <v>4.5452003479003906</v>
      </c>
      <c r="AR27" s="37">
        <v>3.7469959259033199</v>
      </c>
      <c r="AS27" s="36"/>
      <c r="AT27" s="2">
        <f t="shared" si="14"/>
        <v>-5.1758453845977783</v>
      </c>
      <c r="AU27" s="2">
        <f t="shared" si="15"/>
        <v>-3.3832464218139648</v>
      </c>
      <c r="AV27" s="2">
        <f t="shared" si="15"/>
        <v>-2.7814378738403316</v>
      </c>
    </row>
    <row r="28" spans="1:51">
      <c r="A28" s="1">
        <v>6</v>
      </c>
      <c r="B28" t="s">
        <v>10</v>
      </c>
      <c r="C28">
        <v>509</v>
      </c>
      <c r="D28">
        <v>509</v>
      </c>
      <c r="E28">
        <v>0.15674519538879389</v>
      </c>
      <c r="F28">
        <v>7.9463634490966797</v>
      </c>
      <c r="G28">
        <v>6.2398333549499512</v>
      </c>
      <c r="I28" s="2">
        <f t="shared" si="8"/>
        <v>8.0142796039581243E-2</v>
      </c>
      <c r="J28" s="2">
        <f t="shared" si="9"/>
        <v>-4.1675636768341064</v>
      </c>
      <c r="K28" s="2">
        <f t="shared" si="9"/>
        <v>-3.2904207706451412</v>
      </c>
      <c r="L28" s="4"/>
      <c r="M28" s="48">
        <v>5</v>
      </c>
      <c r="N28" s="47" t="s">
        <v>10</v>
      </c>
      <c r="O28" s="47">
        <v>363</v>
      </c>
      <c r="P28" s="47">
        <v>363</v>
      </c>
      <c r="Q28" s="47">
        <v>0.69231891632080078</v>
      </c>
      <c r="R28" s="47">
        <v>6.6884956359863281</v>
      </c>
      <c r="S28" s="47">
        <v>5.3038234710693359</v>
      </c>
      <c r="U28" s="2">
        <f t="shared" si="10"/>
        <v>0.61571651697158813</v>
      </c>
      <c r="V28" s="2">
        <f t="shared" si="11"/>
        <v>-2.9096958637237553</v>
      </c>
      <c r="W28" s="2">
        <f t="shared" si="11"/>
        <v>-2.3544108867645259</v>
      </c>
      <c r="Y28" s="35">
        <v>5</v>
      </c>
      <c r="Z28" s="34" t="s">
        <v>10</v>
      </c>
      <c r="AA28" s="34">
        <v>363</v>
      </c>
      <c r="AB28" s="34">
        <v>363</v>
      </c>
      <c r="AC28" s="34">
        <v>0.68263643980026245</v>
      </c>
      <c r="AD28" s="34">
        <v>6.7929215431213379</v>
      </c>
      <c r="AE28" s="34">
        <v>5.233942985534668</v>
      </c>
      <c r="AF28" s="34"/>
      <c r="AG28" s="2">
        <f t="shared" si="12"/>
        <v>0.6060340404510498</v>
      </c>
      <c r="AH28" s="2">
        <f t="shared" si="13"/>
        <v>-3.0141217708587651</v>
      </c>
      <c r="AI28" s="2">
        <f t="shared" si="13"/>
        <v>-2.284530401229858</v>
      </c>
      <c r="AL28" s="38">
        <v>6</v>
      </c>
      <c r="AM28" s="37" t="s">
        <v>10</v>
      </c>
      <c r="AN28" s="37">
        <v>509</v>
      </c>
      <c r="AO28" s="37">
        <v>509</v>
      </c>
      <c r="AP28" s="37">
        <v>0.13763195276260379</v>
      </c>
      <c r="AQ28" s="37">
        <v>8.0359153747558594</v>
      </c>
      <c r="AR28" s="37">
        <v>6.3761625289916992</v>
      </c>
      <c r="AS28" s="36"/>
      <c r="AT28" s="2">
        <f t="shared" si="14"/>
        <v>6.1029553413391141E-2</v>
      </c>
      <c r="AU28" s="2">
        <f t="shared" si="15"/>
        <v>-4.2571156024932861</v>
      </c>
      <c r="AV28" s="2">
        <f t="shared" si="15"/>
        <v>-3.4267499446868892</v>
      </c>
    </row>
    <row r="29" spans="1:51">
      <c r="A29" s="1">
        <v>1</v>
      </c>
      <c r="B29" t="s">
        <v>11</v>
      </c>
      <c r="C29">
        <v>70</v>
      </c>
      <c r="D29">
        <v>70</v>
      </c>
      <c r="E29">
        <v>-2.6941375732421879</v>
      </c>
      <c r="F29">
        <v>7.0166606903076172</v>
      </c>
      <c r="G29">
        <v>4.553652286529541</v>
      </c>
      <c r="I29" s="2">
        <f t="shared" si="8"/>
        <v>-2.7195864915847783</v>
      </c>
      <c r="J29" s="2">
        <f t="shared" si="9"/>
        <v>20.376520156860352</v>
      </c>
      <c r="K29" s="2">
        <f t="shared" si="9"/>
        <v>8.1164383888244593</v>
      </c>
      <c r="L29" s="4"/>
      <c r="M29" s="48">
        <v>0</v>
      </c>
      <c r="N29" s="47" t="s">
        <v>11</v>
      </c>
      <c r="O29" s="47">
        <v>63</v>
      </c>
      <c r="P29" s="47">
        <v>63</v>
      </c>
      <c r="Q29" s="47">
        <v>0.8710823655128479</v>
      </c>
      <c r="R29" s="47">
        <v>6.3261613845825204</v>
      </c>
      <c r="S29" s="47">
        <v>4.1770110130310059</v>
      </c>
      <c r="U29" s="2">
        <f t="shared" si="10"/>
        <v>0.84563344717025757</v>
      </c>
      <c r="V29" s="2">
        <f t="shared" si="11"/>
        <v>21.067019462585449</v>
      </c>
      <c r="W29" s="2">
        <f t="shared" si="11"/>
        <v>8.4930796623229945</v>
      </c>
      <c r="Y29" s="35">
        <v>0</v>
      </c>
      <c r="Z29" s="34" t="s">
        <v>11</v>
      </c>
      <c r="AA29" s="34">
        <v>63</v>
      </c>
      <c r="AB29" s="34">
        <v>63</v>
      </c>
      <c r="AC29" s="34">
        <v>0.89538031816482544</v>
      </c>
      <c r="AD29" s="34">
        <v>5.6988968849182129</v>
      </c>
      <c r="AE29" s="34">
        <v>3.7884209156036381</v>
      </c>
      <c r="AF29" s="34"/>
      <c r="AG29" s="2">
        <f t="shared" si="12"/>
        <v>0.86993139982223511</v>
      </c>
      <c r="AH29" s="2">
        <f t="shared" si="13"/>
        <v>21.694283962249756</v>
      </c>
      <c r="AI29" s="2">
        <f t="shared" si="13"/>
        <v>8.8816697597503627</v>
      </c>
      <c r="AL29" s="38">
        <v>1</v>
      </c>
      <c r="AM29" s="37" t="s">
        <v>11</v>
      </c>
      <c r="AN29" s="37">
        <v>70</v>
      </c>
      <c r="AO29" s="37">
        <v>70</v>
      </c>
      <c r="AP29" s="37">
        <v>-0.21148347854614261</v>
      </c>
      <c r="AQ29" s="37">
        <v>4.0182104110717773</v>
      </c>
      <c r="AR29" s="37">
        <v>2.844132661819458</v>
      </c>
      <c r="AS29" s="36"/>
      <c r="AT29" s="2">
        <f t="shared" si="14"/>
        <v>-0.23693239688873294</v>
      </c>
      <c r="AU29" s="2">
        <f t="shared" si="15"/>
        <v>23.374970436096191</v>
      </c>
      <c r="AV29" s="2">
        <f t="shared" si="15"/>
        <v>9.8259580135345423</v>
      </c>
    </row>
    <row r="30" spans="1:51">
      <c r="A30" s="1">
        <v>2</v>
      </c>
      <c r="B30" t="s">
        <v>12</v>
      </c>
      <c r="C30">
        <v>223</v>
      </c>
      <c r="D30">
        <v>223</v>
      </c>
      <c r="E30">
        <v>-0.18736910820007319</v>
      </c>
      <c r="F30">
        <v>4.4500036239624023</v>
      </c>
      <c r="G30">
        <v>3.418391227722168</v>
      </c>
      <c r="I30" s="2">
        <f t="shared" si="8"/>
        <v>1.3012819290161137</v>
      </c>
      <c r="J30" s="2">
        <f t="shared" si="9"/>
        <v>0.56598997116088867</v>
      </c>
      <c r="K30" s="2">
        <f t="shared" si="9"/>
        <v>0.58415460586547763</v>
      </c>
      <c r="L30" s="4"/>
      <c r="M30" s="48">
        <v>2</v>
      </c>
      <c r="N30" s="47" t="s">
        <v>12</v>
      </c>
      <c r="O30" s="47">
        <v>221</v>
      </c>
      <c r="P30" s="47">
        <v>221</v>
      </c>
      <c r="Q30" s="47">
        <v>0.72667956352233887</v>
      </c>
      <c r="R30" s="47">
        <v>17.66380500793457</v>
      </c>
      <c r="S30" s="47">
        <v>5.2826390266418457</v>
      </c>
      <c r="U30" s="2">
        <f t="shared" si="10"/>
        <v>2.2153306007385258</v>
      </c>
      <c r="V30" s="2">
        <f t="shared" si="11"/>
        <v>-12.647811412811279</v>
      </c>
      <c r="W30" s="2">
        <f t="shared" si="11"/>
        <v>-1.2800931930542001</v>
      </c>
      <c r="Y30" s="35">
        <v>2</v>
      </c>
      <c r="Z30" s="34" t="s">
        <v>12</v>
      </c>
      <c r="AA30" s="34">
        <v>221</v>
      </c>
      <c r="AB30" s="34">
        <v>221</v>
      </c>
      <c r="AC30" s="34">
        <v>2.30250358581543E-2</v>
      </c>
      <c r="AD30" s="34">
        <v>33.395652770996087</v>
      </c>
      <c r="AE30" s="34">
        <v>7.6018376350402832</v>
      </c>
      <c r="AF30" s="34"/>
      <c r="AG30" s="2">
        <f t="shared" si="12"/>
        <v>1.5116760730743413</v>
      </c>
      <c r="AH30" s="2">
        <f t="shared" si="13"/>
        <v>-28.379659175872796</v>
      </c>
      <c r="AI30" s="2">
        <f t="shared" si="13"/>
        <v>-3.5992918014526376</v>
      </c>
      <c r="AL30" s="38">
        <v>2</v>
      </c>
      <c r="AM30" s="37" t="s">
        <v>12</v>
      </c>
      <c r="AN30" s="37">
        <v>223</v>
      </c>
      <c r="AO30" s="37">
        <v>223</v>
      </c>
      <c r="AP30" s="37">
        <v>-0.89238810539245605</v>
      </c>
      <c r="AQ30" s="37">
        <v>5.6178812980651864</v>
      </c>
      <c r="AR30" s="37">
        <v>4.576911449432373</v>
      </c>
      <c r="AS30" s="36"/>
      <c r="AT30" s="2">
        <f t="shared" si="14"/>
        <v>0.59626293182373091</v>
      </c>
      <c r="AU30" s="2">
        <f t="shared" si="15"/>
        <v>-0.60188770294189542</v>
      </c>
      <c r="AV30" s="2">
        <f t="shared" si="15"/>
        <v>-0.57436561584472745</v>
      </c>
    </row>
    <row r="31" spans="1:51">
      <c r="A31" s="1">
        <v>4</v>
      </c>
      <c r="B31" t="s">
        <v>13</v>
      </c>
      <c r="C31">
        <v>371</v>
      </c>
      <c r="D31">
        <v>371</v>
      </c>
      <c r="E31">
        <v>-0.13251590728759771</v>
      </c>
      <c r="F31">
        <v>4.3844776153564453</v>
      </c>
      <c r="G31">
        <v>3.199166059494019</v>
      </c>
      <c r="I31" s="2">
        <f t="shared" si="8"/>
        <v>-0.1956664919853211</v>
      </c>
      <c r="J31" s="2">
        <f t="shared" si="9"/>
        <v>3.8159847259521484E-2</v>
      </c>
      <c r="K31" s="2">
        <f t="shared" si="9"/>
        <v>0.32216334342956499</v>
      </c>
      <c r="L31" s="4"/>
      <c r="M31" s="48">
        <v>4</v>
      </c>
      <c r="N31" s="47" t="s">
        <v>13</v>
      </c>
      <c r="O31" s="47">
        <v>352</v>
      </c>
      <c r="P31" s="47">
        <v>352</v>
      </c>
      <c r="Q31" s="47">
        <v>0.74099862575531006</v>
      </c>
      <c r="R31" s="47">
        <v>3.578049898147583</v>
      </c>
      <c r="S31" s="47">
        <v>2.7211987972259521</v>
      </c>
      <c r="U31" s="2">
        <f t="shared" si="10"/>
        <v>0.67784804105758667</v>
      </c>
      <c r="V31" s="2">
        <f t="shared" si="11"/>
        <v>0.84458756446838379</v>
      </c>
      <c r="W31" s="2">
        <f t="shared" si="11"/>
        <v>0.80013060569763184</v>
      </c>
      <c r="Y31" s="35">
        <v>4</v>
      </c>
      <c r="Z31" s="34" t="s">
        <v>13</v>
      </c>
      <c r="AA31" s="34">
        <v>352</v>
      </c>
      <c r="AB31" s="34">
        <v>352</v>
      </c>
      <c r="AC31" s="34">
        <v>0.80734765529632568</v>
      </c>
      <c r="AD31" s="34">
        <v>3.085904598236084</v>
      </c>
      <c r="AE31" s="34">
        <v>2.3904225826263432</v>
      </c>
      <c r="AF31" s="34"/>
      <c r="AG31" s="2">
        <f t="shared" si="12"/>
        <v>0.74419707059860229</v>
      </c>
      <c r="AH31" s="2">
        <f t="shared" si="13"/>
        <v>1.3367328643798828</v>
      </c>
      <c r="AI31" s="2">
        <f t="shared" si="13"/>
        <v>1.1309068202972408</v>
      </c>
      <c r="AL31" s="38">
        <v>4</v>
      </c>
      <c r="AM31" s="37" t="s">
        <v>13</v>
      </c>
      <c r="AN31" s="37">
        <v>371</v>
      </c>
      <c r="AO31" s="37">
        <v>371</v>
      </c>
      <c r="AP31" s="37">
        <v>-0.80072581768035889</v>
      </c>
      <c r="AQ31" s="37">
        <v>5.5286550521850586</v>
      </c>
      <c r="AR31" s="37">
        <v>4.3059272766113281</v>
      </c>
      <c r="AS31" s="36"/>
      <c r="AT31" s="2">
        <f t="shared" si="14"/>
        <v>-0.86387640237808228</v>
      </c>
      <c r="AU31" s="2">
        <f t="shared" si="15"/>
        <v>-1.1060175895690918</v>
      </c>
      <c r="AV31" s="2">
        <f t="shared" si="15"/>
        <v>-0.78459787368774414</v>
      </c>
      <c r="AY31" s="41"/>
    </row>
    <row r="32" spans="1:51" ht="15.75" thickBot="1">
      <c r="A32" s="1">
        <v>5</v>
      </c>
      <c r="B32" t="s">
        <v>14</v>
      </c>
      <c r="C32">
        <v>388</v>
      </c>
      <c r="D32">
        <v>388</v>
      </c>
      <c r="E32">
        <v>-0.69794654846191406</v>
      </c>
      <c r="F32">
        <v>7.0356912612915039</v>
      </c>
      <c r="G32">
        <v>5.7457466125488281</v>
      </c>
      <c r="I32" s="2">
        <f t="shared" si="8"/>
        <v>-0.66453677415847778</v>
      </c>
      <c r="J32" s="2">
        <f t="shared" si="9"/>
        <v>12.731192588806156</v>
      </c>
      <c r="K32" s="2">
        <f t="shared" si="9"/>
        <v>2.8992409706115723</v>
      </c>
      <c r="L32" s="4"/>
      <c r="M32" s="48">
        <v>6</v>
      </c>
      <c r="N32" s="47" t="s">
        <v>14</v>
      </c>
      <c r="O32" s="47">
        <v>386</v>
      </c>
      <c r="P32" s="47">
        <v>386</v>
      </c>
      <c r="Q32" s="47">
        <v>0.85998284816741943</v>
      </c>
      <c r="R32" s="47">
        <v>10.651425361633301</v>
      </c>
      <c r="S32" s="47">
        <v>6.2863898277282706</v>
      </c>
      <c r="U32" s="2">
        <f t="shared" si="10"/>
        <v>0.89339262247085571</v>
      </c>
      <c r="V32" s="2">
        <f t="shared" si="11"/>
        <v>9.115458488464359</v>
      </c>
      <c r="W32" s="2">
        <f t="shared" si="11"/>
        <v>2.3585977554321298</v>
      </c>
      <c r="Y32" s="35">
        <v>6</v>
      </c>
      <c r="Z32" s="34" t="s">
        <v>14</v>
      </c>
      <c r="AA32" s="34">
        <v>386</v>
      </c>
      <c r="AB32" s="34">
        <v>386</v>
      </c>
      <c r="AC32" s="34">
        <v>0.89096593856811523</v>
      </c>
      <c r="AD32" s="34">
        <v>9.3993587493896484</v>
      </c>
      <c r="AE32" s="34">
        <v>5.7645959854125977</v>
      </c>
      <c r="AF32" s="34"/>
      <c r="AG32" s="2">
        <f t="shared" si="12"/>
        <v>0.92437571287155151</v>
      </c>
      <c r="AH32" s="2">
        <f t="shared" si="13"/>
        <v>10.367525100708011</v>
      </c>
      <c r="AI32" s="2">
        <f t="shared" si="13"/>
        <v>2.8803915977478027</v>
      </c>
      <c r="AL32" s="38">
        <v>5</v>
      </c>
      <c r="AM32" s="37" t="s">
        <v>14</v>
      </c>
      <c r="AN32" s="37">
        <v>388</v>
      </c>
      <c r="AO32" s="37">
        <v>388</v>
      </c>
      <c r="AP32" s="37">
        <v>-0.19150781631469729</v>
      </c>
      <c r="AQ32" s="37">
        <v>5.893770694732666</v>
      </c>
      <c r="AR32" s="37">
        <v>4.5064859390258789</v>
      </c>
      <c r="AS32" s="36"/>
      <c r="AT32" s="2">
        <f t="shared" si="14"/>
        <v>-0.15809804201126101</v>
      </c>
      <c r="AU32" s="2">
        <f t="shared" si="15"/>
        <v>13.873113155364994</v>
      </c>
      <c r="AV32" s="2">
        <f t="shared" si="15"/>
        <v>4.1385016441345215</v>
      </c>
    </row>
    <row r="33" spans="1:48" ht="15.75" thickBot="1">
      <c r="H33" s="6" t="s">
        <v>19</v>
      </c>
      <c r="I33" s="7">
        <f>SUM(I25:I32)</f>
        <v>-9.7726814150810242</v>
      </c>
      <c r="J33" s="7">
        <f>SUM(J25:J32)</f>
        <v>25.184004068374637</v>
      </c>
      <c r="K33" s="8">
        <f>SUM(K25:K32)</f>
        <v>4.198484659194941</v>
      </c>
      <c r="L33" s="4"/>
      <c r="T33" s="6" t="s">
        <v>19</v>
      </c>
      <c r="U33" s="7">
        <f>SUM(U25:U32)</f>
        <v>6.4539927840232849</v>
      </c>
      <c r="V33" s="7">
        <f>SUM(V25:V32)</f>
        <v>12.562079906463627</v>
      </c>
      <c r="W33" s="8">
        <f>SUM(W25:W32)</f>
        <v>5.4494655132293666</v>
      </c>
      <c r="AF33" s="6" t="s">
        <v>19</v>
      </c>
      <c r="AG33" s="7">
        <f>SUM(AG25:AG32)</f>
        <v>6.2754106521606445</v>
      </c>
      <c r="AH33" s="7">
        <f>SUM(AH25:AH32)</f>
        <v>1.6046514511108505</v>
      </c>
      <c r="AI33" s="8">
        <f>SUM(AI25:AI32)</f>
        <v>6.5231547355651802</v>
      </c>
      <c r="AL33" s="36"/>
      <c r="AM33" s="36"/>
      <c r="AN33" s="36"/>
      <c r="AO33" s="36"/>
      <c r="AP33" s="36"/>
      <c r="AQ33" s="36"/>
      <c r="AR33" s="36"/>
      <c r="AS33" s="6" t="s">
        <v>19</v>
      </c>
      <c r="AT33" s="7">
        <f>SUM(AT25:AT32)</f>
        <v>-7.3538306951522827</v>
      </c>
      <c r="AU33" s="7">
        <f>SUM(AU25:AU32)</f>
        <v>27.80098128318787</v>
      </c>
      <c r="AV33" s="8">
        <f>SUM(AV25:AV32)</f>
        <v>6.6165792942047075</v>
      </c>
    </row>
    <row r="34" spans="1:48">
      <c r="A34" s="103" t="s">
        <v>21</v>
      </c>
      <c r="B34" s="103"/>
      <c r="C34" s="103"/>
      <c r="D34" s="103"/>
      <c r="E34" s="103"/>
      <c r="F34" s="103"/>
      <c r="G34" s="103"/>
      <c r="N34" s="68" t="s">
        <v>42</v>
      </c>
      <c r="O34" s="68"/>
      <c r="P34" s="68"/>
      <c r="Q34" s="68"/>
      <c r="R34" s="68"/>
      <c r="S34" s="68"/>
      <c r="W34" s="41"/>
      <c r="Z34" s="68" t="s">
        <v>42</v>
      </c>
      <c r="AA34" s="68"/>
      <c r="AB34" s="68"/>
      <c r="AC34" s="68"/>
      <c r="AD34" s="68"/>
      <c r="AE34" s="68"/>
      <c r="AL34" s="36"/>
      <c r="AM34" s="68" t="s">
        <v>42</v>
      </c>
      <c r="AN34" s="68"/>
      <c r="AO34" s="68"/>
      <c r="AP34" s="68"/>
      <c r="AQ34" s="68"/>
      <c r="AR34" s="68"/>
      <c r="AS34" s="36"/>
      <c r="AT34" s="36"/>
      <c r="AU34" s="36"/>
      <c r="AV34" s="36"/>
    </row>
    <row r="35" spans="1:48">
      <c r="B35" s="1" t="s">
        <v>0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I35" s="2" t="s">
        <v>17</v>
      </c>
      <c r="J35" s="2" t="s">
        <v>18</v>
      </c>
      <c r="K35" s="2" t="s">
        <v>18</v>
      </c>
      <c r="L35" s="4"/>
      <c r="M35" s="43"/>
      <c r="N35" s="44" t="s">
        <v>0</v>
      </c>
      <c r="O35" s="44" t="s">
        <v>1</v>
      </c>
      <c r="P35" s="44" t="s">
        <v>2</v>
      </c>
      <c r="Q35" s="44" t="s">
        <v>3</v>
      </c>
      <c r="R35" s="44" t="s">
        <v>4</v>
      </c>
      <c r="S35" s="44" t="s">
        <v>5</v>
      </c>
      <c r="U35" s="2" t="s">
        <v>17</v>
      </c>
      <c r="V35" s="2" t="s">
        <v>18</v>
      </c>
      <c r="W35" s="2" t="s">
        <v>18</v>
      </c>
      <c r="Z35" s="31" t="s">
        <v>0</v>
      </c>
      <c r="AA35" s="31" t="s">
        <v>1</v>
      </c>
      <c r="AB35" s="31" t="s">
        <v>2</v>
      </c>
      <c r="AC35" s="31" t="s">
        <v>3</v>
      </c>
      <c r="AD35" s="31" t="s">
        <v>4</v>
      </c>
      <c r="AE35" s="31" t="s">
        <v>5</v>
      </c>
      <c r="AF35" s="30"/>
      <c r="AG35" s="2" t="s">
        <v>17</v>
      </c>
      <c r="AH35" s="2" t="s">
        <v>18</v>
      </c>
      <c r="AI35" s="2" t="s">
        <v>18</v>
      </c>
      <c r="AL35" s="41"/>
      <c r="AM35" s="42" t="s">
        <v>0</v>
      </c>
      <c r="AN35" s="42" t="s">
        <v>1</v>
      </c>
      <c r="AO35" s="42" t="s">
        <v>2</v>
      </c>
      <c r="AP35" s="42" t="s">
        <v>3</v>
      </c>
      <c r="AQ35" s="42" t="s">
        <v>4</v>
      </c>
      <c r="AR35" s="42" t="s">
        <v>5</v>
      </c>
      <c r="AS35" s="36"/>
      <c r="AT35" s="2" t="s">
        <v>17</v>
      </c>
      <c r="AU35" s="2" t="s">
        <v>18</v>
      </c>
      <c r="AV35" s="2" t="s">
        <v>18</v>
      </c>
    </row>
    <row r="36" spans="1:48">
      <c r="A36" s="1">
        <v>7</v>
      </c>
      <c r="B36" t="s">
        <v>7</v>
      </c>
      <c r="C36">
        <v>518</v>
      </c>
      <c r="D36">
        <v>1035</v>
      </c>
      <c r="E36">
        <v>-0.1070042848587036</v>
      </c>
      <c r="F36">
        <v>3.6006288528442378</v>
      </c>
      <c r="G36">
        <v>2.745147824287415</v>
      </c>
      <c r="I36" s="2">
        <f t="shared" ref="I36:I43" si="16">E36-E3</f>
        <v>-0.43275552988052374</v>
      </c>
      <c r="J36" s="2">
        <f t="shared" ref="J36:K43" si="17">F3-F36</f>
        <v>1.9849357604980473</v>
      </c>
      <c r="K36" s="2">
        <f t="shared" si="17"/>
        <v>1.186853289604187</v>
      </c>
      <c r="L36" s="4"/>
      <c r="M36" s="44">
        <v>7</v>
      </c>
      <c r="N36" s="43" t="s">
        <v>7</v>
      </c>
      <c r="O36" s="43">
        <v>485</v>
      </c>
      <c r="P36" s="43">
        <v>982</v>
      </c>
      <c r="Q36" s="43">
        <v>0.75425523519515991</v>
      </c>
      <c r="R36" s="43">
        <v>3.6789026260375981</v>
      </c>
      <c r="S36" s="43">
        <v>2.7663755416870122</v>
      </c>
      <c r="U36" s="2">
        <f t="shared" ref="U36:U43" si="18">Q36-E3</f>
        <v>0.42850399017333979</v>
      </c>
      <c r="V36" s="2">
        <f t="shared" ref="V36:W43" si="19">F3-R36</f>
        <v>1.9066619873046871</v>
      </c>
      <c r="W36" s="2">
        <f t="shared" si="19"/>
        <v>1.1656255722045898</v>
      </c>
      <c r="Y36" s="33">
        <v>7</v>
      </c>
      <c r="Z36" s="30" t="s">
        <v>7</v>
      </c>
      <c r="AA36" s="30">
        <v>485</v>
      </c>
      <c r="AB36" s="30">
        <v>982</v>
      </c>
      <c r="AC36" s="30">
        <v>0.78197956085205078</v>
      </c>
      <c r="AD36" s="30">
        <v>3.4651715755462651</v>
      </c>
      <c r="AE36" s="30">
        <v>2.6167643070220952</v>
      </c>
      <c r="AF36" s="30"/>
      <c r="AG36" s="2">
        <f t="shared" ref="AG36:AG43" si="20">AC36-E3</f>
        <v>0.45622831583023066</v>
      </c>
      <c r="AH36" s="2">
        <f t="shared" ref="AH36:AI43" si="21">F3-AD36</f>
        <v>2.1203930377960201</v>
      </c>
      <c r="AI36" s="2">
        <f t="shared" si="21"/>
        <v>1.3152368068695068</v>
      </c>
      <c r="AL36" s="42">
        <v>7</v>
      </c>
      <c r="AM36" s="41" t="s">
        <v>7</v>
      </c>
      <c r="AN36" s="41">
        <v>518</v>
      </c>
      <c r="AO36" s="41">
        <v>1035</v>
      </c>
      <c r="AP36" s="41">
        <v>-0.22065052390098569</v>
      </c>
      <c r="AQ36" s="41">
        <v>3.7274811267852779</v>
      </c>
      <c r="AR36" s="41">
        <v>2.8509285449981689</v>
      </c>
      <c r="AS36" s="36"/>
      <c r="AT36" s="2">
        <f t="shared" ref="AT36:AT43" si="22">AP36-E3</f>
        <v>-0.54640176892280579</v>
      </c>
      <c r="AU36" s="2">
        <f t="shared" ref="AU36:AV43" si="23">F3-AQ36</f>
        <v>1.8580834865570073</v>
      </c>
      <c r="AV36" s="2">
        <f t="shared" si="23"/>
        <v>1.0810725688934331</v>
      </c>
    </row>
    <row r="37" spans="1:48">
      <c r="A37" s="1">
        <v>3</v>
      </c>
      <c r="B37" t="s">
        <v>8</v>
      </c>
      <c r="C37">
        <v>239</v>
      </c>
      <c r="D37">
        <v>446</v>
      </c>
      <c r="E37">
        <v>-0.51369369029998779</v>
      </c>
      <c r="F37">
        <v>6.1760754585266113</v>
      </c>
      <c r="G37">
        <v>4.9861431121826172</v>
      </c>
      <c r="I37" s="2">
        <f t="shared" si="16"/>
        <v>-0.57191544771194458</v>
      </c>
      <c r="J37" s="2">
        <f t="shared" si="17"/>
        <v>-1.3310909271240234</v>
      </c>
      <c r="K37" s="2">
        <f t="shared" si="17"/>
        <v>-1.1434342861175542</v>
      </c>
      <c r="L37" s="4"/>
      <c r="M37" s="44">
        <v>1</v>
      </c>
      <c r="N37" s="43" t="s">
        <v>8</v>
      </c>
      <c r="O37" s="43">
        <v>203</v>
      </c>
      <c r="P37" s="43">
        <v>417</v>
      </c>
      <c r="Q37" s="43">
        <v>0.76541984081268311</v>
      </c>
      <c r="R37" s="43">
        <v>5.3250370025634766</v>
      </c>
      <c r="S37" s="43">
        <v>4.2585210800170898</v>
      </c>
      <c r="U37" s="2">
        <f t="shared" si="18"/>
        <v>0.70719808340072632</v>
      </c>
      <c r="V37" s="2">
        <f t="shared" si="19"/>
        <v>-0.48005247116088867</v>
      </c>
      <c r="W37" s="2">
        <f t="shared" si="19"/>
        <v>-0.41581225395202681</v>
      </c>
      <c r="Y37" s="33">
        <v>2</v>
      </c>
      <c r="Z37" s="30" t="s">
        <v>8</v>
      </c>
      <c r="AA37" s="30">
        <v>203</v>
      </c>
      <c r="AB37" s="30">
        <v>417</v>
      </c>
      <c r="AC37" s="30">
        <v>0.86132979393005371</v>
      </c>
      <c r="AD37" s="30">
        <v>4.0941948890686044</v>
      </c>
      <c r="AE37" s="30">
        <v>3.1649565696716309</v>
      </c>
      <c r="AF37" s="30"/>
      <c r="AG37" s="2">
        <f t="shared" si="20"/>
        <v>0.80310803651809692</v>
      </c>
      <c r="AH37" s="2">
        <f t="shared" si="21"/>
        <v>0.75078964233398349</v>
      </c>
      <c r="AI37" s="2">
        <f t="shared" si="21"/>
        <v>0.67775225639343217</v>
      </c>
      <c r="AL37" s="42">
        <v>3</v>
      </c>
      <c r="AM37" s="41" t="s">
        <v>8</v>
      </c>
      <c r="AN37" s="41">
        <v>239</v>
      </c>
      <c r="AO37" s="41">
        <v>446</v>
      </c>
      <c r="AP37" s="41">
        <v>-0.44030308723449713</v>
      </c>
      <c r="AQ37" s="41">
        <v>6.0244932174682617</v>
      </c>
      <c r="AR37" s="41">
        <v>4.5703873634338379</v>
      </c>
      <c r="AS37" s="36"/>
      <c r="AT37" s="2">
        <f t="shared" si="22"/>
        <v>-0.49852484464645391</v>
      </c>
      <c r="AU37" s="2">
        <f t="shared" si="23"/>
        <v>-1.1795086860656738</v>
      </c>
      <c r="AV37" s="2">
        <f t="shared" si="23"/>
        <v>-0.72767853736877486</v>
      </c>
    </row>
    <row r="38" spans="1:48">
      <c r="A38" s="1">
        <v>1</v>
      </c>
      <c r="B38" t="s">
        <v>9</v>
      </c>
      <c r="C38">
        <v>14</v>
      </c>
      <c r="D38">
        <v>244</v>
      </c>
      <c r="E38">
        <v>0.16870808601379389</v>
      </c>
      <c r="F38">
        <v>4.6911158561706543</v>
      </c>
      <c r="G38">
        <v>3.6321101188659668</v>
      </c>
      <c r="I38" s="2">
        <f t="shared" si="16"/>
        <v>4.2035102844238198E-2</v>
      </c>
      <c r="J38" s="2">
        <f t="shared" si="17"/>
        <v>-3.5291619300842285</v>
      </c>
      <c r="K38" s="2">
        <f t="shared" si="17"/>
        <v>-2.6665520668029785</v>
      </c>
      <c r="L38" s="4"/>
      <c r="M38" s="44">
        <v>3</v>
      </c>
      <c r="N38" s="43" t="s">
        <v>9</v>
      </c>
      <c r="O38" s="43">
        <v>280</v>
      </c>
      <c r="P38" s="43">
        <v>476</v>
      </c>
      <c r="Q38" s="43">
        <v>0.57214629650115967</v>
      </c>
      <c r="R38" s="43">
        <v>4.9965691566467294</v>
      </c>
      <c r="S38" s="43">
        <v>3.6933295726776119</v>
      </c>
      <c r="U38" s="2">
        <f t="shared" si="18"/>
        <v>0.445473313331604</v>
      </c>
      <c r="V38" s="2">
        <f t="shared" si="19"/>
        <v>-3.8346152305603036</v>
      </c>
      <c r="W38" s="2">
        <f t="shared" si="19"/>
        <v>-2.7277715206146236</v>
      </c>
      <c r="Y38" s="33">
        <v>1</v>
      </c>
      <c r="Z38" s="30" t="s">
        <v>9</v>
      </c>
      <c r="AA38" s="30">
        <v>280</v>
      </c>
      <c r="AB38" s="30">
        <v>476</v>
      </c>
      <c r="AC38" s="30">
        <v>0.63053047657012939</v>
      </c>
      <c r="AD38" s="30">
        <v>4.6431593894958496</v>
      </c>
      <c r="AE38" s="30">
        <v>3.49250316619873</v>
      </c>
      <c r="AF38" s="30"/>
      <c r="AG38" s="2">
        <f t="shared" si="20"/>
        <v>0.50385749340057373</v>
      </c>
      <c r="AH38" s="2">
        <f t="shared" si="21"/>
        <v>-3.4812054634094238</v>
      </c>
      <c r="AI38" s="2">
        <f t="shared" si="21"/>
        <v>-2.5269451141357417</v>
      </c>
      <c r="AL38" s="42">
        <v>1</v>
      </c>
      <c r="AM38" s="41" t="s">
        <v>9</v>
      </c>
      <c r="AN38" s="41">
        <v>14</v>
      </c>
      <c r="AO38" s="41">
        <v>244</v>
      </c>
      <c r="AP38" s="41">
        <v>0.2438042759895325</v>
      </c>
      <c r="AQ38" s="41">
        <v>4.4742112159729004</v>
      </c>
      <c r="AR38" s="41">
        <v>3.4589917659759521</v>
      </c>
      <c r="AS38" s="36"/>
      <c r="AT38" s="2">
        <f t="shared" si="22"/>
        <v>0.11713129281997681</v>
      </c>
      <c r="AU38" s="2">
        <f t="shared" si="23"/>
        <v>-3.3122572898864746</v>
      </c>
      <c r="AV38" s="2">
        <f t="shared" si="23"/>
        <v>-2.4934337139129639</v>
      </c>
    </row>
    <row r="39" spans="1:48">
      <c r="A39" s="1">
        <v>6</v>
      </c>
      <c r="B39" t="s">
        <v>10</v>
      </c>
      <c r="C39">
        <v>509</v>
      </c>
      <c r="D39">
        <v>992</v>
      </c>
      <c r="E39">
        <v>8.9132130146026611E-2</v>
      </c>
      <c r="F39">
        <v>6.8182005882263184</v>
      </c>
      <c r="G39">
        <v>5.162503719329834</v>
      </c>
      <c r="I39" s="2">
        <f t="shared" si="16"/>
        <v>1.2529730796813965E-2</v>
      </c>
      <c r="J39" s="2">
        <f t="shared" si="17"/>
        <v>-3.0394008159637456</v>
      </c>
      <c r="K39" s="2">
        <f t="shared" si="17"/>
        <v>-2.213091135025024</v>
      </c>
      <c r="L39" s="4"/>
      <c r="M39" s="44">
        <v>6</v>
      </c>
      <c r="N39" s="43" t="s">
        <v>10</v>
      </c>
      <c r="O39" s="43">
        <v>363</v>
      </c>
      <c r="P39" s="43">
        <v>822</v>
      </c>
      <c r="Q39" s="43">
        <v>0.81329011917114258</v>
      </c>
      <c r="R39" s="43">
        <v>7.7048521041870117</v>
      </c>
      <c r="S39" s="43">
        <v>5.1356143951416016</v>
      </c>
      <c r="U39" s="2">
        <f t="shared" si="18"/>
        <v>0.73668771982192993</v>
      </c>
      <c r="V39" s="2">
        <f t="shared" si="19"/>
        <v>-3.9260523319244389</v>
      </c>
      <c r="W39" s="2">
        <f t="shared" si="19"/>
        <v>-2.1862018108367915</v>
      </c>
      <c r="Y39" s="33">
        <v>6</v>
      </c>
      <c r="Z39" s="30" t="s">
        <v>10</v>
      </c>
      <c r="AA39" s="30">
        <v>363</v>
      </c>
      <c r="AB39" s="30">
        <v>822</v>
      </c>
      <c r="AC39" s="30">
        <v>0.81094849109649658</v>
      </c>
      <c r="AD39" s="30">
        <v>7.7530183792114258</v>
      </c>
      <c r="AE39" s="30">
        <v>5.1297082901000977</v>
      </c>
      <c r="AF39" s="30"/>
      <c r="AG39" s="2">
        <f t="shared" si="20"/>
        <v>0.73434609174728394</v>
      </c>
      <c r="AH39" s="2">
        <f t="shared" si="21"/>
        <v>-3.974218606948853</v>
      </c>
      <c r="AI39" s="2">
        <f t="shared" si="21"/>
        <v>-2.1802957057952876</v>
      </c>
      <c r="AL39" s="42">
        <v>6</v>
      </c>
      <c r="AM39" s="41" t="s">
        <v>10</v>
      </c>
      <c r="AN39" s="41">
        <v>509</v>
      </c>
      <c r="AO39" s="41">
        <v>992</v>
      </c>
      <c r="AP39" s="41">
        <v>8.0020129680633545E-2</v>
      </c>
      <c r="AQ39" s="41">
        <v>6.8522191047668457</v>
      </c>
      <c r="AR39" s="41">
        <v>5.2034144401550293</v>
      </c>
      <c r="AS39" s="36"/>
      <c r="AT39" s="2">
        <f t="shared" si="22"/>
        <v>3.4177303314208984E-3</v>
      </c>
      <c r="AU39" s="2">
        <f t="shared" si="23"/>
        <v>-3.0734193325042729</v>
      </c>
      <c r="AV39" s="2">
        <f t="shared" si="23"/>
        <v>-2.2540018558502193</v>
      </c>
    </row>
    <row r="40" spans="1:48">
      <c r="A40" s="1">
        <v>0</v>
      </c>
      <c r="B40" t="s">
        <v>11</v>
      </c>
      <c r="C40">
        <v>70</v>
      </c>
      <c r="D40">
        <v>132</v>
      </c>
      <c r="E40">
        <v>-1.768873453140259</v>
      </c>
      <c r="F40">
        <v>5.6314082145690918</v>
      </c>
      <c r="G40">
        <v>3.6751282215118408</v>
      </c>
      <c r="I40" s="2">
        <f t="shared" si="16"/>
        <v>-1.7943223714828493</v>
      </c>
      <c r="J40" s="2">
        <f t="shared" si="17"/>
        <v>21.761772632598877</v>
      </c>
      <c r="K40" s="2">
        <f t="shared" si="17"/>
        <v>8.9949624538421595</v>
      </c>
      <c r="L40" s="4"/>
      <c r="M40" s="44">
        <v>0</v>
      </c>
      <c r="N40" s="43" t="s">
        <v>11</v>
      </c>
      <c r="O40" s="43">
        <v>63</v>
      </c>
      <c r="P40" s="43">
        <v>128</v>
      </c>
      <c r="Q40" s="43">
        <v>0.89016819000244141</v>
      </c>
      <c r="R40" s="43">
        <v>5.9859671592712402</v>
      </c>
      <c r="S40" s="43">
        <v>4.0414199829101563</v>
      </c>
      <c r="U40" s="2">
        <f t="shared" si="18"/>
        <v>0.86471927165985107</v>
      </c>
      <c r="V40" s="2">
        <f t="shared" si="19"/>
        <v>21.407213687896729</v>
      </c>
      <c r="W40" s="2">
        <f t="shared" si="19"/>
        <v>8.6286706924438441</v>
      </c>
      <c r="Y40" s="33">
        <v>0</v>
      </c>
      <c r="Z40" s="30" t="s">
        <v>11</v>
      </c>
      <c r="AA40" s="30">
        <v>63</v>
      </c>
      <c r="AB40" s="30">
        <v>128</v>
      </c>
      <c r="AC40" s="30">
        <v>0.89735931158065796</v>
      </c>
      <c r="AD40" s="30">
        <v>5.786689281463623</v>
      </c>
      <c r="AE40" s="30">
        <v>3.8790900707244869</v>
      </c>
      <c r="AF40" s="30"/>
      <c r="AG40" s="2">
        <f t="shared" si="20"/>
        <v>0.87191039323806763</v>
      </c>
      <c r="AH40" s="2">
        <f t="shared" si="21"/>
        <v>21.606491565704346</v>
      </c>
      <c r="AI40" s="2">
        <f t="shared" si="21"/>
        <v>8.791000604629513</v>
      </c>
      <c r="AL40" s="42">
        <v>0</v>
      </c>
      <c r="AM40" s="41" t="s">
        <v>11</v>
      </c>
      <c r="AN40" s="41">
        <v>70</v>
      </c>
      <c r="AO40" s="41">
        <v>132</v>
      </c>
      <c r="AP40" s="41">
        <v>-0.21065664291381839</v>
      </c>
      <c r="AQ40" s="41">
        <v>3.7237107753753662</v>
      </c>
      <c r="AR40" s="41">
        <v>2.6277751922607422</v>
      </c>
      <c r="AS40" s="36"/>
      <c r="AT40" s="2">
        <f t="shared" si="22"/>
        <v>-0.23610556125640872</v>
      </c>
      <c r="AU40" s="2">
        <f t="shared" si="23"/>
        <v>23.669470071792603</v>
      </c>
      <c r="AV40" s="2">
        <f t="shared" si="23"/>
        <v>10.042315483093258</v>
      </c>
    </row>
    <row r="41" spans="1:48">
      <c r="A41" s="1">
        <v>2</v>
      </c>
      <c r="B41" t="s">
        <v>12</v>
      </c>
      <c r="C41">
        <v>223</v>
      </c>
      <c r="D41">
        <v>444</v>
      </c>
      <c r="E41">
        <v>-0.26451945304870611</v>
      </c>
      <c r="F41">
        <v>4.4770889282226563</v>
      </c>
      <c r="G41">
        <v>3.5191528797149658</v>
      </c>
      <c r="I41" s="2">
        <f t="shared" si="16"/>
        <v>1.2241315841674809</v>
      </c>
      <c r="J41" s="2">
        <f t="shared" si="17"/>
        <v>0.53890466690063477</v>
      </c>
      <c r="K41" s="2">
        <f t="shared" si="17"/>
        <v>0.48339295387267978</v>
      </c>
      <c r="L41" s="4"/>
      <c r="M41" s="44">
        <v>2</v>
      </c>
      <c r="N41" s="43" t="s">
        <v>12</v>
      </c>
      <c r="O41" s="43">
        <v>221</v>
      </c>
      <c r="P41" s="43">
        <v>440</v>
      </c>
      <c r="Q41" s="43">
        <v>0.72281360626220703</v>
      </c>
      <c r="R41" s="43">
        <v>12.842570304870611</v>
      </c>
      <c r="S41" s="43">
        <v>4.2202739715576172</v>
      </c>
      <c r="U41" s="2">
        <f t="shared" si="18"/>
        <v>2.211464643478394</v>
      </c>
      <c r="V41" s="2">
        <f t="shared" si="19"/>
        <v>-7.8265767097473198</v>
      </c>
      <c r="W41" s="2">
        <f t="shared" si="19"/>
        <v>-0.21772813796997159</v>
      </c>
      <c r="Y41" s="33">
        <v>3</v>
      </c>
      <c r="Z41" s="30" t="s">
        <v>12</v>
      </c>
      <c r="AA41" s="30">
        <v>221</v>
      </c>
      <c r="AB41" s="30">
        <v>440</v>
      </c>
      <c r="AC41" s="30">
        <v>4.8030674457550049E-2</v>
      </c>
      <c r="AD41" s="30">
        <v>23.800027847290039</v>
      </c>
      <c r="AE41" s="30">
        <v>5.1514425277709961</v>
      </c>
      <c r="AF41" s="30"/>
      <c r="AG41" s="2">
        <f t="shared" si="20"/>
        <v>1.536681711673737</v>
      </c>
      <c r="AH41" s="2">
        <f t="shared" si="21"/>
        <v>-18.784034252166748</v>
      </c>
      <c r="AI41" s="2">
        <f t="shared" si="21"/>
        <v>-1.1488966941833505</v>
      </c>
      <c r="AL41" s="42">
        <v>2</v>
      </c>
      <c r="AM41" s="41" t="s">
        <v>12</v>
      </c>
      <c r="AN41" s="41">
        <v>223</v>
      </c>
      <c r="AO41" s="41">
        <v>444</v>
      </c>
      <c r="AP41" s="41">
        <v>-0.64009785652160645</v>
      </c>
      <c r="AQ41" s="41">
        <v>5.0987982749938956</v>
      </c>
      <c r="AR41" s="41">
        <v>4.1080865859985352</v>
      </c>
      <c r="AS41" s="36"/>
      <c r="AT41" s="2">
        <f t="shared" si="22"/>
        <v>0.84855318069458052</v>
      </c>
      <c r="AU41" s="2">
        <f t="shared" si="23"/>
        <v>-8.2804679870604581E-2</v>
      </c>
      <c r="AV41" s="2">
        <f t="shared" si="23"/>
        <v>-0.10554075241088956</v>
      </c>
    </row>
    <row r="42" spans="1:48">
      <c r="A42" s="1">
        <v>5</v>
      </c>
      <c r="B42" t="s">
        <v>13</v>
      </c>
      <c r="C42">
        <v>371</v>
      </c>
      <c r="D42">
        <v>742</v>
      </c>
      <c r="E42">
        <v>8.5174560546875E-2</v>
      </c>
      <c r="F42">
        <v>4.2069211006164551</v>
      </c>
      <c r="G42">
        <v>3.1526319980621338</v>
      </c>
      <c r="I42" s="2">
        <f t="shared" si="16"/>
        <v>2.2023975849151611E-2</v>
      </c>
      <c r="J42" s="2">
        <f t="shared" si="17"/>
        <v>0.21571636199951172</v>
      </c>
      <c r="K42" s="2">
        <f t="shared" si="17"/>
        <v>0.3686974048614502</v>
      </c>
      <c r="L42" s="4"/>
      <c r="M42" s="44">
        <v>4</v>
      </c>
      <c r="N42" s="43" t="s">
        <v>13</v>
      </c>
      <c r="O42" s="43">
        <v>352</v>
      </c>
      <c r="P42" s="43">
        <v>715</v>
      </c>
      <c r="Q42" s="43">
        <v>0.74282842874526978</v>
      </c>
      <c r="R42" s="43">
        <v>3.5933241844177251</v>
      </c>
      <c r="S42" s="43">
        <v>2.8110325336456299</v>
      </c>
      <c r="U42" s="2">
        <f t="shared" si="18"/>
        <v>0.67967784404754639</v>
      </c>
      <c r="V42" s="2">
        <f t="shared" si="19"/>
        <v>0.82931327819824174</v>
      </c>
      <c r="W42" s="2">
        <f t="shared" si="19"/>
        <v>0.7102968692779541</v>
      </c>
      <c r="Y42" s="33">
        <v>5</v>
      </c>
      <c r="Z42" s="30" t="s">
        <v>13</v>
      </c>
      <c r="AA42" s="30">
        <v>352</v>
      </c>
      <c r="AB42" s="30">
        <v>715</v>
      </c>
      <c r="AC42" s="30">
        <v>0.78992748260498047</v>
      </c>
      <c r="AD42" s="30">
        <v>3.247652530670166</v>
      </c>
      <c r="AE42" s="30">
        <v>2.58016037940979</v>
      </c>
      <c r="AF42" s="30"/>
      <c r="AG42" s="2">
        <f t="shared" si="20"/>
        <v>0.72677689790725708</v>
      </c>
      <c r="AH42" s="2">
        <f t="shared" si="21"/>
        <v>1.1749849319458008</v>
      </c>
      <c r="AI42" s="2">
        <f t="shared" si="21"/>
        <v>0.94116902351379395</v>
      </c>
      <c r="AL42" s="42">
        <v>5</v>
      </c>
      <c r="AM42" s="41" t="s">
        <v>13</v>
      </c>
      <c r="AN42" s="41">
        <v>371</v>
      </c>
      <c r="AO42" s="41">
        <v>742</v>
      </c>
      <c r="AP42" s="41">
        <v>-0.24384117126464841</v>
      </c>
      <c r="AQ42" s="41">
        <v>4.9054369926452637</v>
      </c>
      <c r="AR42" s="41">
        <v>3.7892661094665532</v>
      </c>
      <c r="AS42" s="36"/>
      <c r="AT42" s="2">
        <f t="shared" si="22"/>
        <v>-0.30699175596237183</v>
      </c>
      <c r="AU42" s="2">
        <f t="shared" si="23"/>
        <v>-0.48279953002929688</v>
      </c>
      <c r="AV42" s="2">
        <f t="shared" si="23"/>
        <v>-0.26793670654296919</v>
      </c>
    </row>
    <row r="43" spans="1:48" ht="15.75" thickBot="1">
      <c r="A43" s="1">
        <v>4</v>
      </c>
      <c r="B43" t="s">
        <v>14</v>
      </c>
      <c r="C43">
        <v>388</v>
      </c>
      <c r="D43">
        <v>741</v>
      </c>
      <c r="E43">
        <v>-0.46333491802215582</v>
      </c>
      <c r="F43">
        <v>6.3208179473876953</v>
      </c>
      <c r="G43">
        <v>4.8408308029174796</v>
      </c>
      <c r="I43" s="2">
        <f t="shared" si="16"/>
        <v>-0.42992514371871954</v>
      </c>
      <c r="J43" s="2">
        <f t="shared" si="17"/>
        <v>13.446065902709964</v>
      </c>
      <c r="K43" s="2">
        <f t="shared" si="17"/>
        <v>3.8041567802429208</v>
      </c>
      <c r="L43" s="4"/>
      <c r="M43" s="44">
        <v>5</v>
      </c>
      <c r="N43" s="43" t="s">
        <v>14</v>
      </c>
      <c r="O43" s="43">
        <v>386</v>
      </c>
      <c r="P43" s="43">
        <v>746</v>
      </c>
      <c r="Q43" s="43">
        <v>0.8744431734085083</v>
      </c>
      <c r="R43" s="43">
        <v>12.28295421600342</v>
      </c>
      <c r="S43" s="43">
        <v>7.040806770324707</v>
      </c>
      <c r="U43" s="2">
        <f t="shared" si="18"/>
        <v>0.90785294771194458</v>
      </c>
      <c r="V43" s="2">
        <f t="shared" si="19"/>
        <v>7.4839296340942401</v>
      </c>
      <c r="W43" s="2">
        <f t="shared" si="19"/>
        <v>1.6041808128356934</v>
      </c>
      <c r="Y43" s="33">
        <v>4</v>
      </c>
      <c r="Z43" s="30" t="s">
        <v>14</v>
      </c>
      <c r="AA43" s="30">
        <v>386</v>
      </c>
      <c r="AB43" s="30">
        <v>746</v>
      </c>
      <c r="AC43" s="30">
        <v>0.89362400770187378</v>
      </c>
      <c r="AD43" s="30">
        <v>11.30588340759277</v>
      </c>
      <c r="AE43" s="30">
        <v>6.5374011993408203</v>
      </c>
      <c r="AF43" s="30"/>
      <c r="AG43" s="2">
        <f t="shared" si="20"/>
        <v>0.92703378200531006</v>
      </c>
      <c r="AH43" s="2">
        <f t="shared" si="21"/>
        <v>8.4610004425048899</v>
      </c>
      <c r="AI43" s="2">
        <f t="shared" si="21"/>
        <v>2.1075863838195801</v>
      </c>
      <c r="AL43" s="42">
        <v>4</v>
      </c>
      <c r="AM43" s="41" t="s">
        <v>14</v>
      </c>
      <c r="AN43" s="41">
        <v>388</v>
      </c>
      <c r="AO43" s="41">
        <v>741</v>
      </c>
      <c r="AP43" s="41">
        <v>-0.30029821395874018</v>
      </c>
      <c r="AQ43" s="41">
        <v>5.9583072662353516</v>
      </c>
      <c r="AR43" s="41">
        <v>4.481086254119873</v>
      </c>
      <c r="AS43" s="36"/>
      <c r="AT43" s="2">
        <f t="shared" si="22"/>
        <v>-0.2668884396553039</v>
      </c>
      <c r="AU43" s="2">
        <f t="shared" si="23"/>
        <v>13.808576583862308</v>
      </c>
      <c r="AV43" s="2">
        <f t="shared" si="23"/>
        <v>4.1639013290405273</v>
      </c>
    </row>
    <row r="44" spans="1:48" ht="15.75" thickBot="1">
      <c r="H44" s="6" t="s">
        <v>19</v>
      </c>
      <c r="I44" s="7">
        <f>SUM(I36:I43)</f>
        <v>-1.9281980991363525</v>
      </c>
      <c r="J44" s="7">
        <f>SUM(J36:J43)</f>
        <v>30.047741651535038</v>
      </c>
      <c r="K44" s="8">
        <f>SUM(K36:K43)</f>
        <v>8.8149853944778407</v>
      </c>
      <c r="L44" s="4"/>
      <c r="T44" s="6" t="s">
        <v>19</v>
      </c>
      <c r="U44" s="7">
        <f>SUM(U36:U43)</f>
        <v>6.9815778136253357</v>
      </c>
      <c r="V44" s="7">
        <f>SUM(V36:V43)</f>
        <v>15.559821844100947</v>
      </c>
      <c r="W44" s="8">
        <f>SUM(W36:W43)</f>
        <v>6.5612602233886674</v>
      </c>
      <c r="AF44" s="6" t="s">
        <v>19</v>
      </c>
      <c r="AG44" s="7">
        <f>SUM(AG36:AG43)</f>
        <v>6.5599427223205566</v>
      </c>
      <c r="AH44" s="7">
        <f>SUM(AH36:AH43)</f>
        <v>7.8742012977600169</v>
      </c>
      <c r="AI44" s="8">
        <f>SUM(AI36:AI43)</f>
        <v>7.9766075611114458</v>
      </c>
      <c r="AL44" s="36"/>
      <c r="AM44" s="36"/>
      <c r="AN44" s="36"/>
      <c r="AO44" s="36"/>
      <c r="AP44" s="36"/>
      <c r="AQ44" s="36"/>
      <c r="AR44" s="36"/>
      <c r="AS44" s="6" t="s">
        <v>19</v>
      </c>
      <c r="AT44" s="7">
        <f>SUM(AT36:AT43)</f>
        <v>-0.88581016659736589</v>
      </c>
      <c r="AU44" s="7">
        <f>SUM(AU36:AU43)</f>
        <v>31.205340623855594</v>
      </c>
      <c r="AV44" s="8">
        <f>SUM(AV36:AV43)</f>
        <v>9.4386978149414009</v>
      </c>
    </row>
    <row r="45" spans="1:48"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:48"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:48"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</row>
    <row r="48" spans="1:48">
      <c r="A48" s="104" t="s">
        <v>16</v>
      </c>
      <c r="B48" s="104"/>
      <c r="C48" s="104"/>
      <c r="D48" s="104"/>
      <c r="E48" s="104"/>
      <c r="F48" s="104"/>
      <c r="G48" s="104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</row>
    <row r="49" spans="1:48">
      <c r="A49" s="3"/>
      <c r="B49" s="3" t="s">
        <v>0</v>
      </c>
      <c r="C49" s="3" t="s">
        <v>1</v>
      </c>
      <c r="D49" s="3" t="s">
        <v>2</v>
      </c>
      <c r="E49" s="3" t="s">
        <v>3</v>
      </c>
      <c r="F49" s="3" t="s">
        <v>4</v>
      </c>
      <c r="G49" s="3" t="s">
        <v>5</v>
      </c>
      <c r="I49" s="2" t="s">
        <v>17</v>
      </c>
      <c r="J49" s="2" t="s">
        <v>18</v>
      </c>
      <c r="K49" s="2" t="s">
        <v>18</v>
      </c>
      <c r="L49" s="4"/>
      <c r="M49" s="4"/>
      <c r="N49" s="4"/>
      <c r="O49" s="4"/>
      <c r="P49" s="4"/>
      <c r="Q49" s="4"/>
      <c r="R49" s="4"/>
      <c r="S49" s="4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</row>
    <row r="50" spans="1:48">
      <c r="A50" s="4">
        <v>7</v>
      </c>
      <c r="B50" s="5">
        <v>1111112222222220</v>
      </c>
      <c r="C50" s="4">
        <v>586</v>
      </c>
      <c r="D50" s="4">
        <v>3013</v>
      </c>
      <c r="E50" s="4">
        <v>0.49084836199999998</v>
      </c>
      <c r="F50" s="4">
        <v>3.2818307880000002</v>
      </c>
      <c r="G50" s="4">
        <v>2.3733637330000001</v>
      </c>
      <c r="I50" s="2">
        <f t="shared" ref="I50:I57" si="24">E50-E3</f>
        <v>0.16509711697817986</v>
      </c>
      <c r="J50" s="2">
        <f t="shared" ref="J50:K57" si="25">F3-F50</f>
        <v>2.303733825342285</v>
      </c>
      <c r="K50" s="2">
        <f t="shared" si="25"/>
        <v>1.5586373808916019</v>
      </c>
      <c r="L50" s="4"/>
      <c r="M50" s="4"/>
      <c r="N50" s="4"/>
      <c r="O50" s="4"/>
      <c r="P50" s="4"/>
      <c r="Q50" s="4"/>
      <c r="R50" s="4"/>
      <c r="S50" s="4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</row>
    <row r="51" spans="1:48">
      <c r="A51" s="4">
        <v>2</v>
      </c>
      <c r="B51" s="5">
        <v>1111113333322220</v>
      </c>
      <c r="C51" s="4">
        <v>261</v>
      </c>
      <c r="D51" s="4">
        <v>1381</v>
      </c>
      <c r="E51" s="4">
        <v>0.49369323300000001</v>
      </c>
      <c r="F51" s="4">
        <v>3.10960722</v>
      </c>
      <c r="G51" s="4">
        <v>2.395375252</v>
      </c>
      <c r="I51" s="2">
        <f t="shared" si="24"/>
        <v>0.43547147558804322</v>
      </c>
      <c r="J51" s="2">
        <f t="shared" si="25"/>
        <v>1.7353773114025879</v>
      </c>
      <c r="K51" s="2">
        <f t="shared" si="25"/>
        <v>1.447333574065063</v>
      </c>
      <c r="L51" s="4"/>
      <c r="M51" s="4"/>
      <c r="N51" s="4"/>
      <c r="O51" s="4"/>
      <c r="P51" s="4"/>
      <c r="Q51" s="4"/>
      <c r="R51" s="4"/>
      <c r="S51" s="4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</row>
    <row r="52" spans="1:48">
      <c r="A52" s="4">
        <v>3</v>
      </c>
      <c r="B52" s="5">
        <v>1111114442222220</v>
      </c>
      <c r="C52" s="4">
        <v>394</v>
      </c>
      <c r="D52" s="4">
        <v>1800</v>
      </c>
      <c r="E52" s="4">
        <v>0.55729699099999996</v>
      </c>
      <c r="F52" s="4">
        <v>3.6469304560000002</v>
      </c>
      <c r="G52" s="4">
        <v>2.7377851010000001</v>
      </c>
      <c r="I52" s="2">
        <f t="shared" si="24"/>
        <v>0.4306240078304443</v>
      </c>
      <c r="J52" s="2">
        <f t="shared" si="25"/>
        <v>-2.484976529913574</v>
      </c>
      <c r="K52" s="2">
        <f t="shared" si="25"/>
        <v>-1.7722270489370118</v>
      </c>
      <c r="L52" s="4"/>
      <c r="M52" s="4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</row>
    <row r="53" spans="1:48">
      <c r="A53" s="4">
        <v>6</v>
      </c>
      <c r="B53" s="5">
        <v>1111122222222220</v>
      </c>
      <c r="C53" s="4">
        <v>597</v>
      </c>
      <c r="D53" s="4">
        <v>2549</v>
      </c>
      <c r="E53" s="4">
        <v>0.51863998200000005</v>
      </c>
      <c r="F53" s="4">
        <v>4.4412240980000002</v>
      </c>
      <c r="G53" s="4">
        <v>3.1149725909999999</v>
      </c>
      <c r="I53" s="2">
        <f t="shared" si="24"/>
        <v>0.44203758265078741</v>
      </c>
      <c r="J53" s="2">
        <f t="shared" si="25"/>
        <v>-0.66242432573742738</v>
      </c>
      <c r="K53" s="2">
        <f t="shared" si="25"/>
        <v>-0.16556000669518989</v>
      </c>
      <c r="L53" s="4"/>
      <c r="M53" s="4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</row>
    <row r="54" spans="1:48">
      <c r="A54" s="4">
        <v>0</v>
      </c>
      <c r="B54" s="5">
        <v>1111122222333220</v>
      </c>
      <c r="C54" s="4">
        <v>121</v>
      </c>
      <c r="D54" s="4">
        <v>516</v>
      </c>
      <c r="E54" s="4">
        <v>-1.8643856E-2</v>
      </c>
      <c r="F54" s="4">
        <v>4.0756888389999997</v>
      </c>
      <c r="G54" s="4">
        <v>2.6379823679999999</v>
      </c>
      <c r="I54" s="2">
        <f t="shared" si="24"/>
        <v>-4.4092774342590332E-2</v>
      </c>
      <c r="J54" s="2">
        <f t="shared" si="25"/>
        <v>23.317492008167967</v>
      </c>
      <c r="K54" s="2">
        <f t="shared" si="25"/>
        <v>10.032108307354001</v>
      </c>
      <c r="L54" s="4"/>
      <c r="M54" s="4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</row>
    <row r="55" spans="1:48">
      <c r="A55" s="4">
        <v>1</v>
      </c>
      <c r="B55" s="5">
        <v>1111144422222220</v>
      </c>
      <c r="C55" s="4">
        <v>228</v>
      </c>
      <c r="D55" s="4">
        <v>1326</v>
      </c>
      <c r="E55" s="4">
        <v>0.42594301699999998</v>
      </c>
      <c r="F55" s="4">
        <v>2.8433961870000002</v>
      </c>
      <c r="G55" s="4">
        <v>2.2345869540000001</v>
      </c>
      <c r="I55" s="2">
        <f t="shared" si="24"/>
        <v>1.914594054216187</v>
      </c>
      <c r="J55" s="2">
        <f t="shared" si="25"/>
        <v>2.1725974081232908</v>
      </c>
      <c r="K55" s="2">
        <f t="shared" si="25"/>
        <v>1.7679588795876455</v>
      </c>
      <c r="L55" s="4"/>
      <c r="M55" s="4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</row>
    <row r="56" spans="1:48">
      <c r="A56" s="4">
        <v>4</v>
      </c>
      <c r="B56" s="5">
        <v>1114422222322220</v>
      </c>
      <c r="C56" s="4">
        <v>376</v>
      </c>
      <c r="D56" s="4">
        <v>2205</v>
      </c>
      <c r="E56" s="4">
        <v>0.209614098</v>
      </c>
      <c r="F56" s="4">
        <v>2.9768285749999999</v>
      </c>
      <c r="G56" s="4">
        <v>2.201990366</v>
      </c>
      <c r="I56" s="2">
        <f t="shared" si="24"/>
        <v>0.14646351330227661</v>
      </c>
      <c r="J56" s="2">
        <f t="shared" si="25"/>
        <v>1.4458088876159669</v>
      </c>
      <c r="K56" s="2">
        <f t="shared" si="25"/>
        <v>1.319339036923584</v>
      </c>
      <c r="L56" s="4"/>
      <c r="M56" s="4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</row>
    <row r="57" spans="1:48" ht="15.75" thickBot="1">
      <c r="A57" s="4">
        <v>5</v>
      </c>
      <c r="B57" s="5">
        <v>3364444555550000</v>
      </c>
      <c r="C57" s="4">
        <v>528</v>
      </c>
      <c r="D57" s="4">
        <v>2448</v>
      </c>
      <c r="E57" s="4">
        <v>0.49642157599999998</v>
      </c>
      <c r="F57" s="4">
        <v>4.4519700999999996</v>
      </c>
      <c r="G57" s="4">
        <v>3.2534272670000002</v>
      </c>
      <c r="I57" s="2">
        <f t="shared" si="24"/>
        <v>0.5298313503034362</v>
      </c>
      <c r="J57" s="2">
        <f t="shared" si="25"/>
        <v>15.314913750097659</v>
      </c>
      <c r="K57" s="2">
        <f t="shared" si="25"/>
        <v>5.3915603161604002</v>
      </c>
      <c r="L57" s="4"/>
      <c r="M57" s="4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</row>
    <row r="58" spans="1:48" ht="15.75" customHeight="1" thickBot="1">
      <c r="A58" s="4"/>
      <c r="B58" s="4"/>
      <c r="C58" s="4"/>
      <c r="D58" s="4"/>
      <c r="E58" s="4"/>
      <c r="F58" s="4"/>
      <c r="G58" s="4"/>
      <c r="H58" s="6" t="s">
        <v>19</v>
      </c>
      <c r="I58" s="7">
        <f>SUM(I50:I57)</f>
        <v>4.0200263265267644</v>
      </c>
      <c r="J58" s="7">
        <f>SUM(J50:J57)</f>
        <v>43.142522335098761</v>
      </c>
      <c r="K58" s="8">
        <f>SUM(K50:K57)</f>
        <v>19.579150439350094</v>
      </c>
      <c r="L58" s="4"/>
      <c r="M58" s="94">
        <v>4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92">
        <v>5</v>
      </c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96">
        <v>6</v>
      </c>
      <c r="AM58" s="47"/>
      <c r="AN58" s="47"/>
      <c r="AO58" s="47"/>
      <c r="AP58" s="47"/>
      <c r="AQ58" s="47"/>
      <c r="AR58" s="47"/>
      <c r="AS58" s="47"/>
      <c r="AT58" s="47"/>
      <c r="AU58" s="47"/>
      <c r="AV58" s="47"/>
    </row>
    <row r="59" spans="1:48" ht="15.75" customHeight="1" thickBot="1">
      <c r="M59" s="95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93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97"/>
      <c r="AM59" s="47"/>
      <c r="AN59" s="47"/>
      <c r="AO59" s="47"/>
      <c r="AP59" s="47"/>
      <c r="AQ59" s="47"/>
      <c r="AR59" s="47"/>
      <c r="AS59" s="47"/>
      <c r="AT59" s="47"/>
      <c r="AU59" s="47"/>
      <c r="AV59" s="47"/>
    </row>
    <row r="60" spans="1:48" ht="15" customHeight="1">
      <c r="M60" s="116" t="s">
        <v>62</v>
      </c>
      <c r="N60" s="117"/>
      <c r="O60" s="117"/>
      <c r="P60" s="117"/>
      <c r="Q60" s="117"/>
      <c r="R60" s="117"/>
      <c r="S60" s="117"/>
      <c r="T60" s="117"/>
      <c r="U60" s="117"/>
      <c r="V60" s="117"/>
      <c r="W60" s="118"/>
      <c r="X60" s="47"/>
      <c r="Y60" s="108" t="s">
        <v>64</v>
      </c>
      <c r="Z60" s="109"/>
      <c r="AA60" s="109"/>
      <c r="AB60" s="109"/>
      <c r="AC60" s="109"/>
      <c r="AD60" s="109"/>
      <c r="AE60" s="109"/>
      <c r="AF60" s="109"/>
      <c r="AG60" s="109"/>
      <c r="AH60" s="109"/>
      <c r="AI60" s="110"/>
      <c r="AJ60" s="47"/>
      <c r="AK60" s="47"/>
      <c r="AL60" s="122" t="s">
        <v>66</v>
      </c>
      <c r="AM60" s="123"/>
      <c r="AN60" s="123"/>
      <c r="AO60" s="123"/>
      <c r="AP60" s="123"/>
      <c r="AQ60" s="123"/>
      <c r="AR60" s="123"/>
      <c r="AS60" s="123"/>
      <c r="AT60" s="123"/>
      <c r="AU60" s="123"/>
      <c r="AV60" s="124"/>
    </row>
    <row r="61" spans="1:48" ht="15" customHeight="1">
      <c r="M61" s="119"/>
      <c r="N61" s="120"/>
      <c r="O61" s="120"/>
      <c r="P61" s="120"/>
      <c r="Q61" s="120"/>
      <c r="R61" s="120"/>
      <c r="S61" s="120"/>
      <c r="T61" s="120"/>
      <c r="U61" s="120"/>
      <c r="V61" s="120"/>
      <c r="W61" s="121"/>
      <c r="X61" s="47"/>
      <c r="Y61" s="111"/>
      <c r="Z61" s="112"/>
      <c r="AA61" s="112"/>
      <c r="AB61" s="112"/>
      <c r="AC61" s="112"/>
      <c r="AD61" s="112"/>
      <c r="AE61" s="112"/>
      <c r="AF61" s="112"/>
      <c r="AG61" s="112"/>
      <c r="AH61" s="112"/>
      <c r="AI61" s="113"/>
      <c r="AJ61" s="47"/>
      <c r="AK61" s="47"/>
      <c r="AL61" s="125"/>
      <c r="AM61" s="126"/>
      <c r="AN61" s="126"/>
      <c r="AO61" s="126"/>
      <c r="AP61" s="126"/>
      <c r="AQ61" s="126"/>
      <c r="AR61" s="126"/>
      <c r="AS61" s="126"/>
      <c r="AT61" s="126"/>
      <c r="AU61" s="126"/>
      <c r="AV61" s="127"/>
    </row>
    <row r="62" spans="1:48">
      <c r="M62" s="77" t="s">
        <v>63</v>
      </c>
      <c r="N62" s="78"/>
      <c r="O62" s="78"/>
      <c r="P62" s="78"/>
      <c r="Q62" s="78"/>
      <c r="R62" s="78"/>
      <c r="S62" s="78"/>
      <c r="T62" s="78"/>
      <c r="U62" s="78"/>
      <c r="V62" s="78"/>
      <c r="W62" s="79"/>
      <c r="X62" s="47"/>
      <c r="Y62" s="114" t="s">
        <v>65</v>
      </c>
      <c r="Z62" s="105"/>
      <c r="AA62" s="105"/>
      <c r="AB62" s="105"/>
      <c r="AC62" s="105"/>
      <c r="AD62" s="105"/>
      <c r="AE62" s="105"/>
      <c r="AF62" s="105"/>
      <c r="AG62" s="105"/>
      <c r="AH62" s="105"/>
      <c r="AI62" s="115"/>
      <c r="AJ62" s="47"/>
      <c r="AK62" s="47"/>
      <c r="AL62" s="114" t="s">
        <v>65</v>
      </c>
      <c r="AM62" s="105"/>
      <c r="AN62" s="105"/>
      <c r="AO62" s="105"/>
      <c r="AP62" s="105"/>
      <c r="AQ62" s="105"/>
      <c r="AR62" s="105"/>
      <c r="AS62" s="105"/>
      <c r="AT62" s="105"/>
      <c r="AU62" s="105"/>
      <c r="AV62" s="115"/>
    </row>
    <row r="63" spans="1:48">
      <c r="M63" s="51"/>
      <c r="N63" s="68" t="s">
        <v>43</v>
      </c>
      <c r="O63" s="68"/>
      <c r="P63" s="68"/>
      <c r="Q63" s="68"/>
      <c r="R63" s="68"/>
      <c r="S63" s="68"/>
      <c r="T63" s="4"/>
      <c r="U63" s="4"/>
      <c r="V63" s="4"/>
      <c r="W63" s="52"/>
      <c r="X63" s="47"/>
      <c r="Y63" s="51"/>
      <c r="Z63" s="68" t="s">
        <v>43</v>
      </c>
      <c r="AA63" s="68"/>
      <c r="AB63" s="68"/>
      <c r="AC63" s="68"/>
      <c r="AD63" s="68"/>
      <c r="AE63" s="68"/>
      <c r="AF63" s="4"/>
      <c r="AG63" s="4"/>
      <c r="AH63" s="4"/>
      <c r="AI63" s="52"/>
      <c r="AJ63" s="47"/>
      <c r="AK63" s="47"/>
      <c r="AL63" s="51"/>
      <c r="AM63" s="68" t="s">
        <v>43</v>
      </c>
      <c r="AN63" s="68"/>
      <c r="AO63" s="68"/>
      <c r="AP63" s="68"/>
      <c r="AQ63" s="68"/>
      <c r="AR63" s="68"/>
      <c r="AS63" s="4"/>
      <c r="AT63" s="4"/>
      <c r="AU63" s="4"/>
      <c r="AV63" s="52"/>
    </row>
    <row r="64" spans="1:48">
      <c r="M64" s="51"/>
      <c r="N64" s="48" t="s">
        <v>0</v>
      </c>
      <c r="O64" s="48" t="s">
        <v>1</v>
      </c>
      <c r="P64" s="48" t="s">
        <v>2</v>
      </c>
      <c r="Q64" s="48" t="s">
        <v>3</v>
      </c>
      <c r="R64" s="48" t="s">
        <v>4</v>
      </c>
      <c r="S64" s="48" t="s">
        <v>5</v>
      </c>
      <c r="T64" s="4"/>
      <c r="U64" s="2" t="s">
        <v>17</v>
      </c>
      <c r="V64" s="2" t="s">
        <v>18</v>
      </c>
      <c r="W64" s="53" t="s">
        <v>18</v>
      </c>
      <c r="X64" s="47"/>
      <c r="Y64" s="51"/>
      <c r="Z64" s="48" t="s">
        <v>0</v>
      </c>
      <c r="AA64" s="48" t="s">
        <v>1</v>
      </c>
      <c r="AB64" s="48" t="s">
        <v>2</v>
      </c>
      <c r="AC64" s="48" t="s">
        <v>3</v>
      </c>
      <c r="AD64" s="48" t="s">
        <v>4</v>
      </c>
      <c r="AE64" s="48" t="s">
        <v>5</v>
      </c>
      <c r="AF64" s="4"/>
      <c r="AG64" s="2" t="s">
        <v>17</v>
      </c>
      <c r="AH64" s="2" t="s">
        <v>18</v>
      </c>
      <c r="AI64" s="53" t="s">
        <v>18</v>
      </c>
      <c r="AJ64" s="47"/>
      <c r="AK64" s="47"/>
      <c r="AL64" s="51" t="s">
        <v>49</v>
      </c>
      <c r="AM64" s="48" t="s">
        <v>0</v>
      </c>
      <c r="AN64" s="48" t="s">
        <v>1</v>
      </c>
      <c r="AO64" s="48" t="s">
        <v>2</v>
      </c>
      <c r="AP64" s="48" t="s">
        <v>3</v>
      </c>
      <c r="AQ64" s="48" t="s">
        <v>4</v>
      </c>
      <c r="AR64" s="48" t="s">
        <v>5</v>
      </c>
      <c r="AS64" s="4"/>
      <c r="AT64" s="2" t="s">
        <v>17</v>
      </c>
      <c r="AU64" s="2" t="s">
        <v>18</v>
      </c>
      <c r="AV64" s="53" t="s">
        <v>18</v>
      </c>
    </row>
    <row r="65" spans="13:48">
      <c r="M65" s="54">
        <v>6</v>
      </c>
      <c r="N65" s="4" t="s">
        <v>7</v>
      </c>
      <c r="O65" s="4">
        <v>0</v>
      </c>
      <c r="P65" s="4">
        <v>511</v>
      </c>
      <c r="Q65" s="4">
        <v>0.30522871017456049</v>
      </c>
      <c r="R65" s="4">
        <v>5.5237855911254883</v>
      </c>
      <c r="S65" s="4">
        <v>3.816191434860229</v>
      </c>
      <c r="T65" s="4"/>
      <c r="U65" s="2">
        <f t="shared" ref="U65:U72" si="26">Q65-E3</f>
        <v>-2.0522534847259633E-2</v>
      </c>
      <c r="V65" s="2">
        <f t="shared" ref="V65:W72" si="27">F3-R65</f>
        <v>6.1779022216796875E-2</v>
      </c>
      <c r="W65" s="53">
        <f t="shared" si="27"/>
        <v>0.11580967903137296</v>
      </c>
      <c r="X65" s="47"/>
      <c r="Y65" s="54">
        <v>7</v>
      </c>
      <c r="Z65" s="4" t="s">
        <v>7</v>
      </c>
      <c r="AA65" s="4">
        <v>0</v>
      </c>
      <c r="AB65" s="4">
        <v>497</v>
      </c>
      <c r="AC65" s="4">
        <v>0.71327996253967285</v>
      </c>
      <c r="AD65" s="4">
        <v>3.2318475246429439</v>
      </c>
      <c r="AE65" s="4">
        <v>2.200994491577148</v>
      </c>
      <c r="AF65" s="4"/>
      <c r="AG65" s="2">
        <f t="shared" ref="AG65:AG72" si="28">AC65-E3</f>
        <v>0.38752871751785273</v>
      </c>
      <c r="AH65" s="2">
        <f t="shared" ref="AH65:AI72" si="29">F3-AD65</f>
        <v>2.3537170886993413</v>
      </c>
      <c r="AI65" s="53">
        <f t="shared" si="29"/>
        <v>1.731006622314454</v>
      </c>
      <c r="AJ65" s="47"/>
      <c r="AK65" s="47"/>
      <c r="AL65" s="54">
        <v>7</v>
      </c>
      <c r="AM65" s="4" t="s">
        <v>7</v>
      </c>
      <c r="AN65" s="4">
        <v>0</v>
      </c>
      <c r="AO65" s="4">
        <v>517</v>
      </c>
      <c r="AP65" s="4">
        <v>-4.0503501892089837E-2</v>
      </c>
      <c r="AQ65" s="4">
        <v>3.2591724395751949</v>
      </c>
      <c r="AR65" s="4">
        <v>2.0400924682617192</v>
      </c>
      <c r="AS65" s="4"/>
      <c r="AT65" s="2">
        <f t="shared" ref="AT65:AT72" si="30">AP65-E3</f>
        <v>-0.36625474691390997</v>
      </c>
      <c r="AU65" s="2">
        <f t="shared" ref="AU65:AV72" si="31">F3-AQ65</f>
        <v>2.3263921737670903</v>
      </c>
      <c r="AV65" s="53">
        <f t="shared" si="31"/>
        <v>1.8919086456298828</v>
      </c>
    </row>
    <row r="66" spans="13:48">
      <c r="M66" s="54">
        <v>2</v>
      </c>
      <c r="N66" s="4" t="s">
        <v>8</v>
      </c>
      <c r="O66" s="4">
        <v>0</v>
      </c>
      <c r="P66" s="4">
        <v>209</v>
      </c>
      <c r="Q66" s="4">
        <v>-0.11649560928344729</v>
      </c>
      <c r="R66" s="4">
        <v>5.9228630065917969</v>
      </c>
      <c r="S66" s="4">
        <v>4.4592461585998544</v>
      </c>
      <c r="T66" s="4"/>
      <c r="U66" s="2">
        <f t="shared" si="26"/>
        <v>-0.17471736669540408</v>
      </c>
      <c r="V66" s="2">
        <f t="shared" si="27"/>
        <v>-1.077878475189209</v>
      </c>
      <c r="W66" s="53">
        <f t="shared" si="27"/>
        <v>-0.61653733253479137</v>
      </c>
      <c r="X66" s="47"/>
      <c r="Y66" s="54">
        <v>2</v>
      </c>
      <c r="Z66" s="4" t="s">
        <v>8</v>
      </c>
      <c r="AA66" s="4">
        <v>0</v>
      </c>
      <c r="AB66" s="4">
        <v>214</v>
      </c>
      <c r="AC66" s="4">
        <v>0.88080906867980957</v>
      </c>
      <c r="AD66" s="4">
        <v>4.3898077011108398</v>
      </c>
      <c r="AE66" s="4">
        <v>2.6378767490386958</v>
      </c>
      <c r="AF66" s="4"/>
      <c r="AG66" s="2">
        <f t="shared" si="28"/>
        <v>0.82258731126785278</v>
      </c>
      <c r="AH66" s="2">
        <f t="shared" si="29"/>
        <v>0.45517683029174805</v>
      </c>
      <c r="AI66" s="53">
        <f t="shared" si="29"/>
        <v>1.2048320770263672</v>
      </c>
      <c r="AJ66" s="47"/>
      <c r="AK66" s="47"/>
      <c r="AL66" s="54">
        <v>1</v>
      </c>
      <c r="AM66" s="4" t="s">
        <v>8</v>
      </c>
      <c r="AN66" s="4">
        <v>0</v>
      </c>
      <c r="AO66" s="4">
        <v>207</v>
      </c>
      <c r="AP66" s="4">
        <v>-0.68361175060272217</v>
      </c>
      <c r="AQ66" s="4">
        <v>4.3331661224365234</v>
      </c>
      <c r="AR66" s="4">
        <v>3.1059889793396001</v>
      </c>
      <c r="AS66" s="4"/>
      <c r="AT66" s="2">
        <f t="shared" si="30"/>
        <v>-0.74183350801467896</v>
      </c>
      <c r="AU66" s="2">
        <f t="shared" si="31"/>
        <v>0.51181840896606445</v>
      </c>
      <c r="AV66" s="53">
        <f t="shared" si="31"/>
        <v>0.73671984672546298</v>
      </c>
    </row>
    <row r="67" spans="13:48">
      <c r="M67" s="54">
        <v>3</v>
      </c>
      <c r="N67" s="4" t="s">
        <v>9</v>
      </c>
      <c r="O67" s="4">
        <v>0</v>
      </c>
      <c r="P67" s="4">
        <v>238</v>
      </c>
      <c r="Q67" s="4">
        <v>0.24301713705062869</v>
      </c>
      <c r="R67" s="4">
        <v>8.6803979873657227</v>
      </c>
      <c r="S67" s="4">
        <v>5.5648980140686044</v>
      </c>
      <c r="T67" s="4"/>
      <c r="U67" s="2">
        <f t="shared" si="26"/>
        <v>0.116344153881073</v>
      </c>
      <c r="V67" s="2">
        <f t="shared" si="27"/>
        <v>-7.5184440612792969</v>
      </c>
      <c r="W67" s="53">
        <f t="shared" si="27"/>
        <v>-4.5993399620056161</v>
      </c>
      <c r="X67" s="47"/>
      <c r="Y67" s="54">
        <v>1</v>
      </c>
      <c r="Z67" s="4" t="s">
        <v>9</v>
      </c>
      <c r="AA67" s="4">
        <v>0</v>
      </c>
      <c r="AB67" s="4">
        <v>196</v>
      </c>
      <c r="AC67" s="4">
        <v>0.57730603218078613</v>
      </c>
      <c r="AD67" s="4">
        <v>3.6814630031585689</v>
      </c>
      <c r="AE67" s="4">
        <v>2.5325338840484619</v>
      </c>
      <c r="AF67" s="4"/>
      <c r="AG67" s="2">
        <f t="shared" si="28"/>
        <v>0.45063304901123047</v>
      </c>
      <c r="AH67" s="2">
        <f t="shared" si="29"/>
        <v>-2.5195090770721427</v>
      </c>
      <c r="AI67" s="53">
        <f t="shared" si="29"/>
        <v>-1.5669758319854736</v>
      </c>
      <c r="AJ67" s="47"/>
      <c r="AK67" s="47"/>
      <c r="AL67" s="54">
        <v>3</v>
      </c>
      <c r="AM67" s="4" t="s">
        <v>9</v>
      </c>
      <c r="AN67" s="4">
        <v>0</v>
      </c>
      <c r="AO67" s="4">
        <v>230</v>
      </c>
      <c r="AP67" s="4">
        <v>-0.27477431297302252</v>
      </c>
      <c r="AQ67" s="4">
        <v>3.9835515022277832</v>
      </c>
      <c r="AR67" s="4">
        <v>2.7753593921661381</v>
      </c>
      <c r="AS67" s="4"/>
      <c r="AT67" s="2">
        <f t="shared" si="30"/>
        <v>-0.40144729614257824</v>
      </c>
      <c r="AU67" s="2">
        <f t="shared" si="31"/>
        <v>-2.8215975761413574</v>
      </c>
      <c r="AV67" s="53">
        <f t="shared" si="31"/>
        <v>-1.8098013401031499</v>
      </c>
    </row>
    <row r="68" spans="13:48">
      <c r="M68" s="54">
        <v>7</v>
      </c>
      <c r="N68" s="4" t="s">
        <v>10</v>
      </c>
      <c r="O68" s="4">
        <v>0</v>
      </c>
      <c r="P68" s="4">
        <v>521</v>
      </c>
      <c r="Q68" s="4">
        <v>1.966762542724609E-2</v>
      </c>
      <c r="R68" s="4">
        <v>8.5786561965942383</v>
      </c>
      <c r="S68" s="4">
        <v>5.540496826171875</v>
      </c>
      <c r="T68" s="4"/>
      <c r="U68" s="2">
        <f t="shared" si="26"/>
        <v>-5.6934773921966553E-2</v>
      </c>
      <c r="V68" s="2">
        <f t="shared" si="27"/>
        <v>-4.799856424331665</v>
      </c>
      <c r="W68" s="53">
        <f t="shared" si="27"/>
        <v>-2.591084241867065</v>
      </c>
      <c r="X68" s="47"/>
      <c r="Y68" s="54">
        <v>6</v>
      </c>
      <c r="Z68" s="4" t="s">
        <v>10</v>
      </c>
      <c r="AA68" s="4">
        <v>0</v>
      </c>
      <c r="AB68" s="4">
        <v>459</v>
      </c>
      <c r="AC68" s="4">
        <v>0.82192260026931763</v>
      </c>
      <c r="AD68" s="4">
        <v>8.2842769622802734</v>
      </c>
      <c r="AE68" s="4">
        <v>3.939117431640625</v>
      </c>
      <c r="AF68" s="4"/>
      <c r="AG68" s="2">
        <f t="shared" si="28"/>
        <v>0.74532020092010498</v>
      </c>
      <c r="AH68" s="2">
        <f t="shared" si="29"/>
        <v>-4.5054771900177002</v>
      </c>
      <c r="AI68" s="53">
        <f t="shared" si="29"/>
        <v>-0.98970484733581499</v>
      </c>
      <c r="AJ68" s="47"/>
      <c r="AK68" s="47"/>
      <c r="AL68" s="54">
        <v>6</v>
      </c>
      <c r="AM68" s="4" t="s">
        <v>10</v>
      </c>
      <c r="AN68" s="4">
        <v>0</v>
      </c>
      <c r="AO68" s="4">
        <v>483</v>
      </c>
      <c r="AP68" s="4">
        <v>-0.1112631559371948</v>
      </c>
      <c r="AQ68" s="4">
        <v>3.765722274780273</v>
      </c>
      <c r="AR68" s="4">
        <v>2.629982471466064</v>
      </c>
      <c r="AS68" s="4"/>
      <c r="AT68" s="2">
        <f t="shared" si="30"/>
        <v>-0.18786555528640744</v>
      </c>
      <c r="AU68" s="2">
        <f t="shared" si="31"/>
        <v>1.3077497482299805E-2</v>
      </c>
      <c r="AV68" s="53">
        <f t="shared" si="31"/>
        <v>0.31943011283874601</v>
      </c>
    </row>
    <row r="69" spans="13:48">
      <c r="M69" s="54">
        <v>0</v>
      </c>
      <c r="N69" s="4" t="s">
        <v>11</v>
      </c>
      <c r="O69" s="4">
        <v>0</v>
      </c>
      <c r="P69" s="4">
        <v>76</v>
      </c>
      <c r="Q69" s="4">
        <v>-9.1620683670043945E-2</v>
      </c>
      <c r="R69" s="4">
        <v>9.977971076965332</v>
      </c>
      <c r="S69" s="4">
        <v>5.9937648773193359</v>
      </c>
      <c r="T69" s="4"/>
      <c r="U69" s="2">
        <f t="shared" si="26"/>
        <v>-0.11706960201263428</v>
      </c>
      <c r="V69" s="2">
        <f t="shared" si="27"/>
        <v>17.415209770202637</v>
      </c>
      <c r="W69" s="53">
        <f t="shared" si="27"/>
        <v>6.6763257980346644</v>
      </c>
      <c r="X69" s="47"/>
      <c r="Y69" s="54">
        <v>0</v>
      </c>
      <c r="Z69" s="4" t="s">
        <v>11</v>
      </c>
      <c r="AA69" s="4">
        <v>0</v>
      </c>
      <c r="AB69" s="4">
        <v>65</v>
      </c>
      <c r="AC69" s="4">
        <v>0.81667637825012207</v>
      </c>
      <c r="AD69" s="4">
        <v>6.1028017997741699</v>
      </c>
      <c r="AE69" s="4">
        <v>3.630304336547852</v>
      </c>
      <c r="AF69" s="4"/>
      <c r="AG69" s="2">
        <f t="shared" si="28"/>
        <v>0.79122745990753174</v>
      </c>
      <c r="AH69" s="2">
        <f t="shared" si="29"/>
        <v>21.290379047393799</v>
      </c>
      <c r="AI69" s="53">
        <f t="shared" si="29"/>
        <v>9.0397863388061488</v>
      </c>
      <c r="AJ69" s="47"/>
      <c r="AK69" s="47"/>
      <c r="AL69" s="54">
        <v>0</v>
      </c>
      <c r="AM69" s="4" t="s">
        <v>11</v>
      </c>
      <c r="AN69" s="4">
        <v>0</v>
      </c>
      <c r="AO69" s="4">
        <v>62</v>
      </c>
      <c r="AP69" s="4">
        <v>7.6250433921813956E-3</v>
      </c>
      <c r="AQ69" s="4">
        <v>2.239148855209351</v>
      </c>
      <c r="AR69" s="4">
        <v>1.3323991298675539</v>
      </c>
      <c r="AS69" s="4"/>
      <c r="AT69" s="2">
        <f t="shared" si="30"/>
        <v>-1.7823874950408932E-2</v>
      </c>
      <c r="AU69" s="2">
        <f t="shared" si="31"/>
        <v>25.154031991958618</v>
      </c>
      <c r="AV69" s="53">
        <f t="shared" si="31"/>
        <v>11.337691545486447</v>
      </c>
    </row>
    <row r="70" spans="13:48">
      <c r="M70" s="54">
        <v>1</v>
      </c>
      <c r="N70" s="4" t="s">
        <v>12</v>
      </c>
      <c r="O70" s="4">
        <v>0</v>
      </c>
      <c r="P70" s="4">
        <v>207</v>
      </c>
      <c r="Q70" s="4">
        <v>-2.7539253234863281E-2</v>
      </c>
      <c r="R70" s="4">
        <v>3.9643006324768071</v>
      </c>
      <c r="S70" s="4">
        <v>3.0666956901550289</v>
      </c>
      <c r="T70" s="4"/>
      <c r="U70" s="2">
        <f t="shared" si="26"/>
        <v>1.4611117839813237</v>
      </c>
      <c r="V70" s="2">
        <f t="shared" si="27"/>
        <v>1.0516929626464839</v>
      </c>
      <c r="W70" s="53">
        <f t="shared" si="27"/>
        <v>0.93585014343261674</v>
      </c>
      <c r="X70" s="47"/>
      <c r="Y70" s="54">
        <v>3</v>
      </c>
      <c r="Z70" s="4" t="s">
        <v>12</v>
      </c>
      <c r="AA70" s="4">
        <v>0</v>
      </c>
      <c r="AB70" s="4">
        <v>219</v>
      </c>
      <c r="AC70" s="4">
        <v>0.19055682420730591</v>
      </c>
      <c r="AD70" s="4">
        <v>3.3561868667602539</v>
      </c>
      <c r="AE70" s="4">
        <v>2.4747781753540039</v>
      </c>
      <c r="AF70" s="4"/>
      <c r="AG70" s="2">
        <f t="shared" si="28"/>
        <v>1.6792078614234929</v>
      </c>
      <c r="AH70" s="2">
        <f t="shared" si="29"/>
        <v>1.6598067283630371</v>
      </c>
      <c r="AI70" s="53">
        <f t="shared" si="29"/>
        <v>1.5277676582336417</v>
      </c>
      <c r="AJ70" s="47"/>
      <c r="AK70" s="47"/>
      <c r="AL70" s="54">
        <v>2</v>
      </c>
      <c r="AM70" s="4" t="s">
        <v>12</v>
      </c>
      <c r="AN70" s="4">
        <v>0</v>
      </c>
      <c r="AO70" s="4">
        <v>221</v>
      </c>
      <c r="AP70" s="4">
        <v>-0.18935954570770261</v>
      </c>
      <c r="AQ70" s="4">
        <v>2.7246584892272949</v>
      </c>
      <c r="AR70" s="4">
        <v>1.9504703283309941</v>
      </c>
      <c r="AS70" s="4"/>
      <c r="AT70" s="2">
        <f t="shared" si="30"/>
        <v>1.2992914915084843</v>
      </c>
      <c r="AU70" s="2">
        <f t="shared" si="31"/>
        <v>2.2913351058959961</v>
      </c>
      <c r="AV70" s="53">
        <f t="shared" si="31"/>
        <v>2.0520755052566515</v>
      </c>
    </row>
    <row r="71" spans="13:48">
      <c r="M71" s="54">
        <v>4</v>
      </c>
      <c r="N71" s="4" t="s">
        <v>13</v>
      </c>
      <c r="O71" s="4">
        <v>0</v>
      </c>
      <c r="P71" s="4">
        <v>342</v>
      </c>
      <c r="Q71" s="4">
        <v>-0.12793278694152829</v>
      </c>
      <c r="R71" s="4">
        <v>4.9249105453491211</v>
      </c>
      <c r="S71" s="4">
        <v>3.523957252502441</v>
      </c>
      <c r="T71" s="4"/>
      <c r="U71" s="2">
        <f t="shared" si="26"/>
        <v>-0.19108337163925168</v>
      </c>
      <c r="V71" s="2">
        <f t="shared" si="27"/>
        <v>-0.5022730827331543</v>
      </c>
      <c r="W71" s="53">
        <f t="shared" si="27"/>
        <v>-2.6278495788569778E-3</v>
      </c>
      <c r="X71" s="47"/>
      <c r="Y71" s="54">
        <v>5</v>
      </c>
      <c r="Z71" s="4" t="s">
        <v>13</v>
      </c>
      <c r="AA71" s="4">
        <v>0</v>
      </c>
      <c r="AB71" s="4">
        <v>363</v>
      </c>
      <c r="AC71" s="4">
        <v>0.77449572086334229</v>
      </c>
      <c r="AD71" s="4">
        <v>2.9319450855255131</v>
      </c>
      <c r="AE71" s="4">
        <v>2.2678942680358891</v>
      </c>
      <c r="AF71" s="4"/>
      <c r="AG71" s="2">
        <f t="shared" si="28"/>
        <v>0.7113451361656189</v>
      </c>
      <c r="AH71" s="2">
        <f t="shared" si="29"/>
        <v>1.4906923770904537</v>
      </c>
      <c r="AI71" s="53">
        <f t="shared" si="29"/>
        <v>1.2534351348876949</v>
      </c>
      <c r="AJ71" s="47"/>
      <c r="AK71" s="47"/>
      <c r="AL71" s="54">
        <v>5</v>
      </c>
      <c r="AM71" s="4" t="s">
        <v>13</v>
      </c>
      <c r="AN71" s="4">
        <v>0</v>
      </c>
      <c r="AO71" s="4">
        <v>371</v>
      </c>
      <c r="AP71" s="4">
        <v>-0.28815352916717529</v>
      </c>
      <c r="AQ71" s="4">
        <v>3.262706995010376</v>
      </c>
      <c r="AR71" s="4">
        <v>2.2498543262481689</v>
      </c>
      <c r="AS71" s="4"/>
      <c r="AT71" s="2">
        <f t="shared" si="30"/>
        <v>-0.35130411386489868</v>
      </c>
      <c r="AU71" s="2">
        <f t="shared" si="31"/>
        <v>1.1599304676055908</v>
      </c>
      <c r="AV71" s="53">
        <f t="shared" si="31"/>
        <v>1.271475076675415</v>
      </c>
    </row>
    <row r="72" spans="13:48" ht="15.75" thickBot="1">
      <c r="M72" s="54">
        <v>5</v>
      </c>
      <c r="N72" s="4" t="s">
        <v>14</v>
      </c>
      <c r="O72" s="4">
        <v>0</v>
      </c>
      <c r="P72" s="4">
        <v>446</v>
      </c>
      <c r="Q72" s="4">
        <v>2.3877382278442379E-2</v>
      </c>
      <c r="R72" s="4">
        <v>7.4984745979309082</v>
      </c>
      <c r="S72" s="4">
        <v>5.3515777587890616</v>
      </c>
      <c r="T72" s="4"/>
      <c r="U72" s="2">
        <f t="shared" si="26"/>
        <v>5.7287156581878662E-2</v>
      </c>
      <c r="V72" s="2">
        <f t="shared" si="27"/>
        <v>12.268409252166752</v>
      </c>
      <c r="W72" s="53">
        <f t="shared" si="27"/>
        <v>3.2934098243713388</v>
      </c>
      <c r="X72" s="47"/>
      <c r="Y72" s="54">
        <v>4</v>
      </c>
      <c r="Z72" s="4" t="s">
        <v>14</v>
      </c>
      <c r="AA72" s="4">
        <v>0</v>
      </c>
      <c r="AB72" s="4">
        <v>360</v>
      </c>
      <c r="AC72" s="4">
        <v>0.85891640186309814</v>
      </c>
      <c r="AD72" s="4">
        <v>13.87887382507324</v>
      </c>
      <c r="AE72" s="4">
        <v>7.6074409484863281</v>
      </c>
      <c r="AF72" s="4"/>
      <c r="AG72" s="2">
        <f t="shared" si="28"/>
        <v>0.89232617616653442</v>
      </c>
      <c r="AH72" s="2">
        <f t="shared" si="29"/>
        <v>5.8880100250244194</v>
      </c>
      <c r="AI72" s="53">
        <f t="shared" si="29"/>
        <v>1.0375466346740723</v>
      </c>
      <c r="AJ72" s="47"/>
      <c r="AK72" s="47"/>
      <c r="AL72" s="54">
        <v>4</v>
      </c>
      <c r="AM72" s="4" t="s">
        <v>14</v>
      </c>
      <c r="AN72" s="4">
        <v>0</v>
      </c>
      <c r="AO72" s="4">
        <v>353</v>
      </c>
      <c r="AP72" s="4">
        <v>-0.23907268047332761</v>
      </c>
      <c r="AQ72" s="4">
        <v>3.8991813659667969</v>
      </c>
      <c r="AR72" s="4">
        <v>2.90376877784729</v>
      </c>
      <c r="AS72" s="4"/>
      <c r="AT72" s="2">
        <f t="shared" si="30"/>
        <v>-0.20566290616989133</v>
      </c>
      <c r="AU72" s="2">
        <f t="shared" si="31"/>
        <v>15.867702484130863</v>
      </c>
      <c r="AV72" s="53">
        <f t="shared" si="31"/>
        <v>5.7412188053131104</v>
      </c>
    </row>
    <row r="73" spans="13:48" ht="15.75" thickBot="1">
      <c r="M73" s="51"/>
      <c r="N73" s="4"/>
      <c r="O73" s="4"/>
      <c r="P73" s="4"/>
      <c r="Q73" s="4"/>
      <c r="R73" s="4"/>
      <c r="S73" s="4"/>
      <c r="T73" s="6" t="s">
        <v>19</v>
      </c>
      <c r="U73" s="7">
        <f>SUM(U65:U72)</f>
        <v>1.0744154453277592</v>
      </c>
      <c r="V73" s="7">
        <f>SUM(V65:V72)</f>
        <v>16.898638963699344</v>
      </c>
      <c r="W73" s="8">
        <f>SUM(W65:W72)</f>
        <v>3.2118060588836626</v>
      </c>
      <c r="X73" s="47"/>
      <c r="Y73" s="51"/>
      <c r="Z73" s="4"/>
      <c r="AA73" s="4"/>
      <c r="AB73" s="4"/>
      <c r="AC73" s="4"/>
      <c r="AD73" s="4"/>
      <c r="AE73" s="4"/>
      <c r="AF73" s="6" t="s">
        <v>19</v>
      </c>
      <c r="AG73" s="7">
        <f>SUM(AG65:AG72)</f>
        <v>6.4801759123802185</v>
      </c>
      <c r="AH73" s="7">
        <f>SUM(AH65:AH72)</f>
        <v>26.112795829772956</v>
      </c>
      <c r="AI73" s="8">
        <f>SUM(AI65:AI72)</f>
        <v>13.23769378662109</v>
      </c>
      <c r="AJ73" s="47"/>
      <c r="AK73" s="47"/>
      <c r="AL73" s="51"/>
      <c r="AM73" s="4"/>
      <c r="AN73" s="4"/>
      <c r="AO73" s="4"/>
      <c r="AP73" s="4"/>
      <c r="AQ73" s="4"/>
      <c r="AR73" s="4"/>
      <c r="AS73" s="6" t="s">
        <v>19</v>
      </c>
      <c r="AT73" s="7">
        <f>SUM(AT65:AT72)</f>
        <v>-0.97290050983428911</v>
      </c>
      <c r="AU73" s="7">
        <f>SUM(AU65:AU72)</f>
        <v>44.502690553665161</v>
      </c>
      <c r="AV73" s="8">
        <f>SUM(AV65:AV72)</f>
        <v>21.540718197822564</v>
      </c>
    </row>
    <row r="74" spans="13:48">
      <c r="M74" s="51"/>
      <c r="N74" s="68" t="s">
        <v>44</v>
      </c>
      <c r="O74" s="68"/>
      <c r="P74" s="68"/>
      <c r="Q74" s="68"/>
      <c r="R74" s="68"/>
      <c r="S74" s="68"/>
      <c r="T74" s="4"/>
      <c r="U74" s="4"/>
      <c r="V74" s="4"/>
      <c r="W74" s="52"/>
      <c r="X74" s="47"/>
      <c r="Y74" s="51"/>
      <c r="Z74" s="68" t="s">
        <v>44</v>
      </c>
      <c r="AA74" s="68"/>
      <c r="AB74" s="68"/>
      <c r="AC74" s="68"/>
      <c r="AD74" s="68"/>
      <c r="AE74" s="68"/>
      <c r="AF74" s="4"/>
      <c r="AG74" s="4"/>
      <c r="AH74" s="4"/>
      <c r="AI74" s="52"/>
      <c r="AJ74" s="47"/>
      <c r="AK74" s="47"/>
      <c r="AL74" s="51"/>
      <c r="AM74" s="68" t="s">
        <v>44</v>
      </c>
      <c r="AN74" s="68"/>
      <c r="AO74" s="68"/>
      <c r="AP74" s="68"/>
      <c r="AQ74" s="68"/>
      <c r="AR74" s="68"/>
      <c r="AS74" s="4"/>
      <c r="AT74" s="4"/>
      <c r="AU74" s="4"/>
      <c r="AV74" s="52"/>
    </row>
    <row r="75" spans="13:48">
      <c r="M75" s="51"/>
      <c r="N75" s="48" t="s">
        <v>0</v>
      </c>
      <c r="O75" s="48" t="s">
        <v>1</v>
      </c>
      <c r="P75" s="48" t="s">
        <v>2</v>
      </c>
      <c r="Q75" s="48" t="s">
        <v>3</v>
      </c>
      <c r="R75" s="48" t="s">
        <v>4</v>
      </c>
      <c r="S75" s="48" t="s">
        <v>5</v>
      </c>
      <c r="T75" s="4"/>
      <c r="U75" s="2" t="s">
        <v>17</v>
      </c>
      <c r="V75" s="2" t="s">
        <v>18</v>
      </c>
      <c r="W75" s="53" t="s">
        <v>18</v>
      </c>
      <c r="X75" s="47"/>
      <c r="Y75" s="51"/>
      <c r="Z75" s="48" t="s">
        <v>0</v>
      </c>
      <c r="AA75" s="48" t="s">
        <v>1</v>
      </c>
      <c r="AB75" s="48" t="s">
        <v>2</v>
      </c>
      <c r="AC75" s="48" t="s">
        <v>3</v>
      </c>
      <c r="AD75" s="48" t="s">
        <v>4</v>
      </c>
      <c r="AE75" s="48" t="s">
        <v>5</v>
      </c>
      <c r="AF75" s="4"/>
      <c r="AG75" s="2" t="s">
        <v>17</v>
      </c>
      <c r="AH75" s="2" t="s">
        <v>18</v>
      </c>
      <c r="AI75" s="53" t="s">
        <v>18</v>
      </c>
      <c r="AJ75" s="47"/>
      <c r="AK75" s="47"/>
      <c r="AL75" s="51"/>
      <c r="AM75" s="48" t="s">
        <v>0</v>
      </c>
      <c r="AN75" s="48" t="s">
        <v>1</v>
      </c>
      <c r="AO75" s="48" t="s">
        <v>2</v>
      </c>
      <c r="AP75" s="48" t="s">
        <v>3</v>
      </c>
      <c r="AQ75" s="48" t="s">
        <v>4</v>
      </c>
      <c r="AR75" s="48" t="s">
        <v>5</v>
      </c>
      <c r="AS75" s="4"/>
      <c r="AT75" s="2" t="s">
        <v>17</v>
      </c>
      <c r="AU75" s="2" t="s">
        <v>18</v>
      </c>
      <c r="AV75" s="53" t="s">
        <v>18</v>
      </c>
    </row>
    <row r="76" spans="13:48">
      <c r="M76" s="54">
        <v>6</v>
      </c>
      <c r="N76" s="4" t="s">
        <v>7</v>
      </c>
      <c r="O76" s="4">
        <v>506</v>
      </c>
      <c r="P76" s="4">
        <v>506</v>
      </c>
      <c r="Q76" s="4">
        <v>0.28253889083862299</v>
      </c>
      <c r="R76" s="4">
        <v>4.8790826797485352</v>
      </c>
      <c r="S76" s="4">
        <v>3.7787191867828369</v>
      </c>
      <c r="T76" s="4"/>
      <c r="U76" s="2">
        <f t="shared" ref="U76:U83" si="32">Q76-E3</f>
        <v>-4.3212354183197133E-2</v>
      </c>
      <c r="V76" s="2">
        <f t="shared" ref="V76:W83" si="33">F3-R76</f>
        <v>0.70648193359375</v>
      </c>
      <c r="W76" s="53">
        <f t="shared" si="33"/>
        <v>0.15328192710876509</v>
      </c>
      <c r="X76" s="47"/>
      <c r="Y76" s="54">
        <v>7</v>
      </c>
      <c r="Z76" s="4" t="s">
        <v>7</v>
      </c>
      <c r="AA76" s="4">
        <v>485</v>
      </c>
      <c r="AB76" s="4">
        <v>485</v>
      </c>
      <c r="AC76" s="4">
        <v>0.76298362016677856</v>
      </c>
      <c r="AD76" s="4">
        <v>3.416342973709106</v>
      </c>
      <c r="AE76" s="4">
        <v>2.4876458644866939</v>
      </c>
      <c r="AF76" s="4"/>
      <c r="AG76" s="2">
        <f t="shared" ref="AG76:AG83" si="34">AC76-E3</f>
        <v>0.43723237514495844</v>
      </c>
      <c r="AH76" s="2">
        <f t="shared" ref="AH76:AI83" si="35">F3-AD76</f>
        <v>2.1692216396331792</v>
      </c>
      <c r="AI76" s="53">
        <f t="shared" si="35"/>
        <v>1.4443552494049081</v>
      </c>
      <c r="AJ76" s="47"/>
      <c r="AK76" s="47"/>
      <c r="AL76" s="54">
        <v>7</v>
      </c>
      <c r="AM76" s="4" t="s">
        <v>7</v>
      </c>
      <c r="AN76" s="4">
        <v>518</v>
      </c>
      <c r="AO76" s="4">
        <v>518</v>
      </c>
      <c r="AP76" s="4">
        <v>-3.508913516998291E-2</v>
      </c>
      <c r="AQ76" s="4">
        <v>2.9966320991516109</v>
      </c>
      <c r="AR76" s="4">
        <v>2.201651811599731</v>
      </c>
      <c r="AS76" s="4"/>
      <c r="AT76" s="2">
        <f t="shared" ref="AT76:AT83" si="36">AP76-E3</f>
        <v>-0.36084038019180303</v>
      </c>
      <c r="AU76" s="2">
        <f t="shared" ref="AU76:AV83" si="37">F3-AQ76</f>
        <v>2.5889325141906743</v>
      </c>
      <c r="AV76" s="53">
        <f t="shared" si="37"/>
        <v>1.730349302291871</v>
      </c>
    </row>
    <row r="77" spans="13:48">
      <c r="M77" s="54">
        <v>2</v>
      </c>
      <c r="N77" s="4" t="s">
        <v>8</v>
      </c>
      <c r="O77" s="4">
        <v>225</v>
      </c>
      <c r="P77" s="4">
        <v>225</v>
      </c>
      <c r="Q77" s="4">
        <v>-1.898678064346313</v>
      </c>
      <c r="R77" s="4">
        <v>8.0017671585083008</v>
      </c>
      <c r="S77" s="4">
        <v>5.8824610710144043</v>
      </c>
      <c r="T77" s="4"/>
      <c r="U77" s="2">
        <f t="shared" si="32"/>
        <v>-1.9568998217582698</v>
      </c>
      <c r="V77" s="2">
        <f t="shared" si="33"/>
        <v>-3.1567826271057129</v>
      </c>
      <c r="W77" s="53">
        <f t="shared" si="33"/>
        <v>-2.0397522449493413</v>
      </c>
      <c r="X77" s="47"/>
      <c r="Y77" s="54">
        <v>1</v>
      </c>
      <c r="Z77" s="4" t="s">
        <v>8</v>
      </c>
      <c r="AA77" s="4">
        <v>203</v>
      </c>
      <c r="AB77" s="4">
        <v>203</v>
      </c>
      <c r="AC77" s="4">
        <v>0.29870796203613281</v>
      </c>
      <c r="AD77" s="4">
        <v>5.2443327903747559</v>
      </c>
      <c r="AE77" s="4">
        <v>4.5765199661254883</v>
      </c>
      <c r="AF77" s="4"/>
      <c r="AG77" s="2">
        <f t="shared" si="34"/>
        <v>0.24048620462417603</v>
      </c>
      <c r="AH77" s="2">
        <f t="shared" si="35"/>
        <v>-0.39934825897216797</v>
      </c>
      <c r="AI77" s="53">
        <f t="shared" si="35"/>
        <v>-0.73381114006042525</v>
      </c>
      <c r="AJ77" s="47"/>
      <c r="AK77" s="47"/>
      <c r="AL77" s="54">
        <v>3</v>
      </c>
      <c r="AM77" s="4" t="s">
        <v>8</v>
      </c>
      <c r="AN77" s="4">
        <v>239</v>
      </c>
      <c r="AO77" s="4">
        <v>239</v>
      </c>
      <c r="AP77" s="4">
        <v>-0.79810786247253418</v>
      </c>
      <c r="AQ77" s="4">
        <v>4.1009364128112793</v>
      </c>
      <c r="AR77" s="4">
        <v>2.8147809505462651</v>
      </c>
      <c r="AS77" s="4"/>
      <c r="AT77" s="2">
        <f t="shared" si="36"/>
        <v>-0.85632961988449097</v>
      </c>
      <c r="AU77" s="2">
        <f t="shared" si="37"/>
        <v>0.74404811859130859</v>
      </c>
      <c r="AV77" s="53">
        <f t="shared" si="37"/>
        <v>1.0279278755187979</v>
      </c>
    </row>
    <row r="78" spans="13:48">
      <c r="M78" s="54">
        <v>3</v>
      </c>
      <c r="N78" s="4" t="s">
        <v>9</v>
      </c>
      <c r="O78" s="4">
        <v>312</v>
      </c>
      <c r="P78" s="4">
        <v>312</v>
      </c>
      <c r="Q78" s="4">
        <v>0.26351571083068848</v>
      </c>
      <c r="R78" s="4">
        <v>4.3812975883483887</v>
      </c>
      <c r="S78" s="4">
        <v>3.3290038108825679</v>
      </c>
      <c r="T78" s="4"/>
      <c r="U78" s="2">
        <f t="shared" si="32"/>
        <v>0.13684272766113278</v>
      </c>
      <c r="V78" s="2">
        <f t="shared" si="33"/>
        <v>-3.2193436622619629</v>
      </c>
      <c r="W78" s="53">
        <f t="shared" si="33"/>
        <v>-2.3634457588195796</v>
      </c>
      <c r="X78" s="47"/>
      <c r="Y78" s="54">
        <v>3</v>
      </c>
      <c r="Z78" s="4" t="s">
        <v>9</v>
      </c>
      <c r="AA78" s="4">
        <v>280</v>
      </c>
      <c r="AB78" s="4">
        <v>280</v>
      </c>
      <c r="AC78" s="4">
        <v>0.4940531849861145</v>
      </c>
      <c r="AD78" s="4">
        <v>3.970189094543457</v>
      </c>
      <c r="AE78" s="4">
        <v>3.1603515148162842</v>
      </c>
      <c r="AF78" s="4"/>
      <c r="AG78" s="2">
        <f t="shared" si="34"/>
        <v>0.36738020181655884</v>
      </c>
      <c r="AH78" s="2">
        <f t="shared" si="35"/>
        <v>-2.8082351684570313</v>
      </c>
      <c r="AI78" s="53">
        <f t="shared" si="35"/>
        <v>-2.1947934627532959</v>
      </c>
      <c r="AJ78" s="47"/>
      <c r="AK78" s="47"/>
      <c r="AL78" s="54">
        <v>0</v>
      </c>
      <c r="AM78" s="4" t="s">
        <v>9</v>
      </c>
      <c r="AN78" s="4">
        <v>14</v>
      </c>
      <c r="AO78" s="4">
        <v>14</v>
      </c>
      <c r="AP78" s="4">
        <v>-6.0004487037658691</v>
      </c>
      <c r="AQ78" s="4">
        <v>3.169655561447144</v>
      </c>
      <c r="AR78" s="4">
        <v>2.7435400485992432</v>
      </c>
      <c r="AS78" s="4"/>
      <c r="AT78" s="2">
        <f t="shared" si="36"/>
        <v>-6.1271216869354248</v>
      </c>
      <c r="AU78" s="2">
        <f t="shared" si="37"/>
        <v>-2.0077016353607178</v>
      </c>
      <c r="AV78" s="53">
        <f t="shared" si="37"/>
        <v>-1.7779819965362549</v>
      </c>
    </row>
    <row r="79" spans="13:48">
      <c r="M79" s="54">
        <v>7</v>
      </c>
      <c r="N79" s="4" t="s">
        <v>10</v>
      </c>
      <c r="O79" s="4">
        <v>559</v>
      </c>
      <c r="P79" s="4">
        <v>559</v>
      </c>
      <c r="Q79" s="4">
        <v>-0.229610800743103</v>
      </c>
      <c r="R79" s="4">
        <v>7.9153580665588379</v>
      </c>
      <c r="S79" s="4">
        <v>5.8707289695739746</v>
      </c>
      <c r="T79" s="4"/>
      <c r="U79" s="2">
        <f t="shared" si="32"/>
        <v>-0.30621320009231567</v>
      </c>
      <c r="V79" s="2">
        <f t="shared" si="33"/>
        <v>-4.1365582942962646</v>
      </c>
      <c r="W79" s="53">
        <f t="shared" si="33"/>
        <v>-2.9213163852691646</v>
      </c>
      <c r="X79" s="47"/>
      <c r="Y79" s="54">
        <v>5</v>
      </c>
      <c r="Z79" s="4" t="s">
        <v>10</v>
      </c>
      <c r="AA79" s="4">
        <v>363</v>
      </c>
      <c r="AB79" s="4">
        <v>363</v>
      </c>
      <c r="AC79" s="4">
        <v>0.6061776876449585</v>
      </c>
      <c r="AD79" s="4">
        <v>5.4602689743041992</v>
      </c>
      <c r="AE79" s="4">
        <v>4.2770113945007324</v>
      </c>
      <c r="AF79" s="4"/>
      <c r="AG79" s="2">
        <f t="shared" si="34"/>
        <v>0.52957528829574585</v>
      </c>
      <c r="AH79" s="2">
        <f t="shared" si="35"/>
        <v>-1.6814692020416264</v>
      </c>
      <c r="AI79" s="53">
        <f t="shared" si="35"/>
        <v>-1.3275988101959224</v>
      </c>
      <c r="AJ79" s="47"/>
      <c r="AK79" s="47"/>
      <c r="AL79" s="54">
        <v>6</v>
      </c>
      <c r="AM79" s="4" t="s">
        <v>10</v>
      </c>
      <c r="AN79" s="4">
        <v>509</v>
      </c>
      <c r="AO79" s="4">
        <v>509</v>
      </c>
      <c r="AP79" s="4">
        <v>-0.44570696353912348</v>
      </c>
      <c r="AQ79" s="4">
        <v>6.5047097206115723</v>
      </c>
      <c r="AR79" s="4">
        <v>5.0916390419006348</v>
      </c>
      <c r="AS79" s="4"/>
      <c r="AT79" s="2">
        <f t="shared" si="36"/>
        <v>-0.52230936288833618</v>
      </c>
      <c r="AU79" s="2">
        <f t="shared" si="37"/>
        <v>-2.7259099483489995</v>
      </c>
      <c r="AV79" s="53">
        <f t="shared" si="37"/>
        <v>-2.1422264575958248</v>
      </c>
    </row>
    <row r="80" spans="13:48">
      <c r="M80" s="54">
        <v>0</v>
      </c>
      <c r="N80" s="4" t="s">
        <v>11</v>
      </c>
      <c r="O80" s="4">
        <v>78</v>
      </c>
      <c r="P80" s="4">
        <v>78</v>
      </c>
      <c r="Q80" s="4">
        <v>0.1057554483413696</v>
      </c>
      <c r="R80" s="4">
        <v>9.3390893936157227</v>
      </c>
      <c r="S80" s="4">
        <v>6.0384869575500488</v>
      </c>
      <c r="T80" s="4"/>
      <c r="U80" s="2">
        <f t="shared" si="32"/>
        <v>8.0306529998779269E-2</v>
      </c>
      <c r="V80" s="2">
        <f t="shared" si="33"/>
        <v>18.054091453552246</v>
      </c>
      <c r="W80" s="53">
        <f t="shared" si="33"/>
        <v>6.6316037178039515</v>
      </c>
      <c r="X80" s="47"/>
      <c r="Y80" s="54">
        <v>0</v>
      </c>
      <c r="Z80" s="4" t="s">
        <v>11</v>
      </c>
      <c r="AA80" s="4">
        <v>63</v>
      </c>
      <c r="AB80" s="4">
        <v>63</v>
      </c>
      <c r="AC80" s="4">
        <v>0.76503998041152954</v>
      </c>
      <c r="AD80" s="4">
        <v>6.416935920715332</v>
      </c>
      <c r="AE80" s="4">
        <v>4.0337891578674316</v>
      </c>
      <c r="AF80" s="4"/>
      <c r="AG80" s="2">
        <f t="shared" si="34"/>
        <v>0.73959106206893921</v>
      </c>
      <c r="AH80" s="2">
        <f t="shared" si="35"/>
        <v>20.976244926452637</v>
      </c>
      <c r="AI80" s="53">
        <f t="shared" si="35"/>
        <v>8.6363015174865687</v>
      </c>
      <c r="AJ80" s="47"/>
      <c r="AK80" s="47"/>
      <c r="AL80" s="54">
        <v>1</v>
      </c>
      <c r="AM80" s="4" t="s">
        <v>11</v>
      </c>
      <c r="AN80" s="4">
        <v>70</v>
      </c>
      <c r="AO80" s="4">
        <v>70</v>
      </c>
      <c r="AP80" s="4">
        <v>-0.81780505180358887</v>
      </c>
      <c r="AQ80" s="4">
        <v>3.3966343402862549</v>
      </c>
      <c r="AR80" s="4">
        <v>2.4209434986114502</v>
      </c>
      <c r="AS80" s="4"/>
      <c r="AT80" s="2">
        <f t="shared" si="36"/>
        <v>-0.8432539701461792</v>
      </c>
      <c r="AU80" s="2">
        <f t="shared" si="37"/>
        <v>23.996546506881714</v>
      </c>
      <c r="AV80" s="53">
        <f t="shared" si="37"/>
        <v>10.24914717674255</v>
      </c>
    </row>
    <row r="81" spans="13:48">
      <c r="M81" s="54">
        <v>1</v>
      </c>
      <c r="N81" s="4" t="s">
        <v>12</v>
      </c>
      <c r="O81" s="4">
        <v>210</v>
      </c>
      <c r="P81" s="4">
        <v>210</v>
      </c>
      <c r="Q81" s="4">
        <v>-9.926140308380127E-2</v>
      </c>
      <c r="R81" s="4">
        <v>3.6015481948852539</v>
      </c>
      <c r="S81" s="4">
        <v>2.8489594459533691</v>
      </c>
      <c r="T81" s="4"/>
      <c r="U81" s="2">
        <f t="shared" si="32"/>
        <v>1.3893896341323857</v>
      </c>
      <c r="V81" s="2">
        <f t="shared" si="33"/>
        <v>1.4144454002380371</v>
      </c>
      <c r="W81" s="53">
        <f t="shared" si="33"/>
        <v>1.1535863876342765</v>
      </c>
      <c r="X81" s="47"/>
      <c r="Y81" s="54">
        <v>2</v>
      </c>
      <c r="Z81" s="4" t="s">
        <v>12</v>
      </c>
      <c r="AA81" s="4">
        <v>221</v>
      </c>
      <c r="AB81" s="4">
        <v>221</v>
      </c>
      <c r="AC81" s="4">
        <v>0.43989133834838873</v>
      </c>
      <c r="AD81" s="4">
        <v>24.698379516601559</v>
      </c>
      <c r="AE81" s="4">
        <v>5.7025942802429199</v>
      </c>
      <c r="AF81" s="4"/>
      <c r="AG81" s="2">
        <f t="shared" si="34"/>
        <v>1.9285423755645756</v>
      </c>
      <c r="AH81" s="2">
        <f t="shared" si="35"/>
        <v>-19.682385921478268</v>
      </c>
      <c r="AI81" s="53">
        <f t="shared" si="35"/>
        <v>-1.7000484466552743</v>
      </c>
      <c r="AJ81" s="47"/>
      <c r="AK81" s="47"/>
      <c r="AL81" s="54">
        <v>2</v>
      </c>
      <c r="AM81" s="4" t="s">
        <v>12</v>
      </c>
      <c r="AN81" s="4">
        <v>223</v>
      </c>
      <c r="AO81" s="4">
        <v>223</v>
      </c>
      <c r="AP81" s="4">
        <v>-1.1478302478790281</v>
      </c>
      <c r="AQ81" s="4">
        <v>3.8303642272949219</v>
      </c>
      <c r="AR81" s="4">
        <v>3.0122601985931401</v>
      </c>
      <c r="AS81" s="4"/>
      <c r="AT81" s="2">
        <f t="shared" si="36"/>
        <v>0.34082078933715887</v>
      </c>
      <c r="AU81" s="2">
        <f t="shared" si="37"/>
        <v>1.1856293678283691</v>
      </c>
      <c r="AV81" s="53">
        <f t="shared" si="37"/>
        <v>0.9902856349945055</v>
      </c>
    </row>
    <row r="82" spans="13:48">
      <c r="M82" s="54">
        <v>4</v>
      </c>
      <c r="N82" s="4" t="s">
        <v>13</v>
      </c>
      <c r="O82" s="4">
        <v>341</v>
      </c>
      <c r="P82" s="4">
        <v>341</v>
      </c>
      <c r="Q82" s="4">
        <v>-6.5317869186401367E-2</v>
      </c>
      <c r="R82" s="4">
        <v>4.2574954032897949</v>
      </c>
      <c r="S82" s="4">
        <v>3.3196642398834229</v>
      </c>
      <c r="T82" s="4"/>
      <c r="U82" s="2">
        <f t="shared" si="32"/>
        <v>-0.12846845388412476</v>
      </c>
      <c r="V82" s="2">
        <f t="shared" si="33"/>
        <v>0.16514205932617188</v>
      </c>
      <c r="W82" s="53">
        <f t="shared" si="33"/>
        <v>0.20166516304016113</v>
      </c>
      <c r="X82" s="47"/>
      <c r="Y82" s="54">
        <v>4</v>
      </c>
      <c r="Z82" s="4" t="s">
        <v>13</v>
      </c>
      <c r="AA82" s="4">
        <v>352</v>
      </c>
      <c r="AB82" s="4">
        <v>352</v>
      </c>
      <c r="AC82" s="4">
        <v>0.77414846420288086</v>
      </c>
      <c r="AD82" s="4">
        <v>2.9110438823699951</v>
      </c>
      <c r="AE82" s="4">
        <v>2.2666406631469731</v>
      </c>
      <c r="AF82" s="4"/>
      <c r="AG82" s="2">
        <f t="shared" si="34"/>
        <v>0.71099787950515747</v>
      </c>
      <c r="AH82" s="2">
        <f t="shared" si="35"/>
        <v>1.5115935802459717</v>
      </c>
      <c r="AI82" s="53">
        <f t="shared" si="35"/>
        <v>1.2546887397766109</v>
      </c>
      <c r="AJ82" s="47"/>
      <c r="AK82" s="47"/>
      <c r="AL82" s="54">
        <v>4</v>
      </c>
      <c r="AM82" s="4" t="s">
        <v>13</v>
      </c>
      <c r="AN82" s="4">
        <v>371</v>
      </c>
      <c r="AO82" s="4">
        <v>371</v>
      </c>
      <c r="AP82" s="4">
        <v>-0.11944806575775151</v>
      </c>
      <c r="AQ82" s="4">
        <v>3.097228050231934</v>
      </c>
      <c r="AR82" s="4">
        <v>2.1568794250488281</v>
      </c>
      <c r="AS82" s="4"/>
      <c r="AT82" s="2">
        <f t="shared" si="36"/>
        <v>-0.18259865045547491</v>
      </c>
      <c r="AU82" s="2">
        <f t="shared" si="37"/>
        <v>1.3254094123840328</v>
      </c>
      <c r="AV82" s="53">
        <f t="shared" si="37"/>
        <v>1.3644499778747559</v>
      </c>
    </row>
    <row r="83" spans="13:48" ht="15.75" thickBot="1">
      <c r="M83" s="54">
        <v>5</v>
      </c>
      <c r="N83" s="4" t="s">
        <v>14</v>
      </c>
      <c r="O83" s="4">
        <v>433</v>
      </c>
      <c r="P83" s="4">
        <v>433</v>
      </c>
      <c r="Q83" s="4">
        <v>-0.18270814418792719</v>
      </c>
      <c r="R83" s="4">
        <v>7.5715517997741699</v>
      </c>
      <c r="S83" s="4">
        <v>5.5664024353027344</v>
      </c>
      <c r="T83" s="4"/>
      <c r="U83" s="2">
        <f t="shared" si="32"/>
        <v>-0.14929836988449091</v>
      </c>
      <c r="V83" s="2">
        <f t="shared" si="33"/>
        <v>12.19533205032349</v>
      </c>
      <c r="W83" s="53">
        <f t="shared" si="33"/>
        <v>3.078585147857666</v>
      </c>
      <c r="X83" s="47"/>
      <c r="Y83" s="54">
        <v>6</v>
      </c>
      <c r="Z83" s="4" t="s">
        <v>14</v>
      </c>
      <c r="AA83" s="4">
        <v>386</v>
      </c>
      <c r="AB83" s="4">
        <v>386</v>
      </c>
      <c r="AC83" s="4">
        <v>0.8767627477645874</v>
      </c>
      <c r="AD83" s="4">
        <v>9.0313482284545898</v>
      </c>
      <c r="AE83" s="4">
        <v>4.9990601539611816</v>
      </c>
      <c r="AF83" s="4"/>
      <c r="AG83" s="2">
        <f t="shared" si="34"/>
        <v>0.91017252206802368</v>
      </c>
      <c r="AH83" s="2">
        <f t="shared" si="35"/>
        <v>10.73553562164307</v>
      </c>
      <c r="AI83" s="53">
        <f t="shared" si="35"/>
        <v>3.6459274291992188</v>
      </c>
      <c r="AJ83" s="47"/>
      <c r="AK83" s="47"/>
      <c r="AL83" s="54">
        <v>5</v>
      </c>
      <c r="AM83" s="4" t="s">
        <v>14</v>
      </c>
      <c r="AN83" s="4">
        <v>388</v>
      </c>
      <c r="AO83" s="4">
        <v>388</v>
      </c>
      <c r="AP83" s="4">
        <v>-0.56434619426727295</v>
      </c>
      <c r="AQ83" s="4">
        <v>4.6116728782653809</v>
      </c>
      <c r="AR83" s="4">
        <v>3.877892017364502</v>
      </c>
      <c r="AS83" s="4"/>
      <c r="AT83" s="2">
        <f t="shared" si="36"/>
        <v>-0.53093641996383667</v>
      </c>
      <c r="AU83" s="2">
        <f t="shared" si="37"/>
        <v>15.155210971832279</v>
      </c>
      <c r="AV83" s="53">
        <f t="shared" si="37"/>
        <v>4.7670955657958984</v>
      </c>
    </row>
    <row r="84" spans="13:48" ht="15.75" thickBot="1">
      <c r="M84" s="51"/>
      <c r="N84" s="4"/>
      <c r="O84" s="4"/>
      <c r="P84" s="4"/>
      <c r="Q84" s="4"/>
      <c r="R84" s="4"/>
      <c r="S84" s="4"/>
      <c r="T84" s="6" t="s">
        <v>19</v>
      </c>
      <c r="U84" s="7">
        <f>SUM(U76:U83)</f>
        <v>-0.97755330801010043</v>
      </c>
      <c r="V84" s="7">
        <f>SUM(V76:V83)</f>
        <v>22.022808313369755</v>
      </c>
      <c r="W84" s="8">
        <f>SUM(W76:W83)</f>
        <v>3.8942079544067338</v>
      </c>
      <c r="X84" s="47"/>
      <c r="Y84" s="51"/>
      <c r="Z84" s="4"/>
      <c r="AA84" s="4"/>
      <c r="AB84" s="4"/>
      <c r="AC84" s="4"/>
      <c r="AD84" s="4"/>
      <c r="AE84" s="4"/>
      <c r="AF84" s="6" t="s">
        <v>19</v>
      </c>
      <c r="AG84" s="7">
        <f>SUM(AG76:AG83)</f>
        <v>5.8639779090881348</v>
      </c>
      <c r="AH84" s="7">
        <f>SUM(AH76:AH83)</f>
        <v>10.821157217025764</v>
      </c>
      <c r="AI84" s="8">
        <f>SUM(AI76:AI83)</f>
        <v>9.025021076202389</v>
      </c>
      <c r="AJ84" s="47"/>
      <c r="AK84" s="47"/>
      <c r="AL84" s="51"/>
      <c r="AM84" s="4"/>
      <c r="AN84" s="4"/>
      <c r="AO84" s="4"/>
      <c r="AP84" s="4"/>
      <c r="AQ84" s="4"/>
      <c r="AR84" s="4"/>
      <c r="AS84" s="6" t="s">
        <v>19</v>
      </c>
      <c r="AT84" s="7">
        <f>SUM(AT76:AT83)</f>
        <v>-9.0825693011283875</v>
      </c>
      <c r="AU84" s="7">
        <f>SUM(AU76:AU83)</f>
        <v>40.262165307998657</v>
      </c>
      <c r="AV84" s="8">
        <f>SUM(AV76:AV83)</f>
        <v>16.209047079086297</v>
      </c>
    </row>
    <row r="85" spans="13:48">
      <c r="M85" s="51"/>
      <c r="N85" s="68" t="s">
        <v>42</v>
      </c>
      <c r="O85" s="68"/>
      <c r="P85" s="68"/>
      <c r="Q85" s="68"/>
      <c r="R85" s="68"/>
      <c r="S85" s="68"/>
      <c r="T85" s="4"/>
      <c r="U85" s="4"/>
      <c r="V85" s="4"/>
      <c r="W85" s="52"/>
      <c r="X85" s="47"/>
      <c r="Y85" s="51"/>
      <c r="Z85" s="68" t="s">
        <v>42</v>
      </c>
      <c r="AA85" s="68"/>
      <c r="AB85" s="68"/>
      <c r="AC85" s="68"/>
      <c r="AD85" s="68"/>
      <c r="AE85" s="68"/>
      <c r="AF85" s="4"/>
      <c r="AG85" s="4"/>
      <c r="AH85" s="4"/>
      <c r="AI85" s="52"/>
      <c r="AJ85" s="47"/>
      <c r="AK85" s="47"/>
      <c r="AL85" s="51"/>
      <c r="AM85" s="68" t="s">
        <v>42</v>
      </c>
      <c r="AN85" s="68"/>
      <c r="AO85" s="68"/>
      <c r="AP85" s="68"/>
      <c r="AQ85" s="68"/>
      <c r="AR85" s="68"/>
      <c r="AS85" s="4"/>
      <c r="AT85" s="4"/>
      <c r="AU85" s="4"/>
      <c r="AV85" s="52"/>
    </row>
    <row r="86" spans="13:48">
      <c r="M86" s="51"/>
      <c r="N86" s="48" t="s">
        <v>0</v>
      </c>
      <c r="O86" s="48" t="s">
        <v>1</v>
      </c>
      <c r="P86" s="48" t="s">
        <v>2</v>
      </c>
      <c r="Q86" s="48" t="s">
        <v>3</v>
      </c>
      <c r="R86" s="48" t="s">
        <v>4</v>
      </c>
      <c r="S86" s="48" t="s">
        <v>5</v>
      </c>
      <c r="T86" s="4"/>
      <c r="U86" s="2" t="s">
        <v>17</v>
      </c>
      <c r="V86" s="2" t="s">
        <v>18</v>
      </c>
      <c r="W86" s="53" t="s">
        <v>18</v>
      </c>
      <c r="X86" s="47"/>
      <c r="Y86" s="51"/>
      <c r="Z86" s="48" t="s">
        <v>0</v>
      </c>
      <c r="AA86" s="48" t="s">
        <v>1</v>
      </c>
      <c r="AB86" s="48" t="s">
        <v>2</v>
      </c>
      <c r="AC86" s="48" t="s">
        <v>3</v>
      </c>
      <c r="AD86" s="48" t="s">
        <v>4</v>
      </c>
      <c r="AE86" s="48" t="s">
        <v>5</v>
      </c>
      <c r="AF86" s="4"/>
      <c r="AG86" s="2" t="s">
        <v>17</v>
      </c>
      <c r="AH86" s="2" t="s">
        <v>18</v>
      </c>
      <c r="AI86" s="53" t="s">
        <v>18</v>
      </c>
      <c r="AJ86" s="47"/>
      <c r="AK86" s="47"/>
      <c r="AL86" s="51"/>
      <c r="AM86" s="48" t="s">
        <v>0</v>
      </c>
      <c r="AN86" s="48" t="s">
        <v>1</v>
      </c>
      <c r="AO86" s="48" t="s">
        <v>2</v>
      </c>
      <c r="AP86" s="48" t="s">
        <v>3</v>
      </c>
      <c r="AQ86" s="48" t="s">
        <v>4</v>
      </c>
      <c r="AR86" s="48" t="s">
        <v>5</v>
      </c>
      <c r="AS86" s="4"/>
      <c r="AT86" s="2" t="s">
        <v>17</v>
      </c>
      <c r="AU86" s="2" t="s">
        <v>18</v>
      </c>
      <c r="AV86" s="53" t="s">
        <v>18</v>
      </c>
    </row>
    <row r="87" spans="13:48">
      <c r="M87" s="54">
        <v>6</v>
      </c>
      <c r="N87" s="4" t="s">
        <v>7</v>
      </c>
      <c r="O87" s="4">
        <v>506</v>
      </c>
      <c r="P87" s="4">
        <v>1017</v>
      </c>
      <c r="Q87" s="4">
        <v>0.29954016208648682</v>
      </c>
      <c r="R87" s="4">
        <v>5.2129945755004883</v>
      </c>
      <c r="S87" s="4">
        <v>3.797547340393066</v>
      </c>
      <c r="T87" s="4"/>
      <c r="U87" s="2">
        <f t="shared" ref="U87:U94" si="38">Q87-E3</f>
        <v>-2.6211082935333307E-2</v>
      </c>
      <c r="V87" s="2">
        <f t="shared" ref="V87:W94" si="39">F3-R87</f>
        <v>0.37257003784179688</v>
      </c>
      <c r="W87" s="53">
        <f t="shared" si="39"/>
        <v>0.13445377349853604</v>
      </c>
      <c r="X87" s="47"/>
      <c r="Y87" s="54">
        <v>7</v>
      </c>
      <c r="Z87" s="4" t="s">
        <v>7</v>
      </c>
      <c r="AA87" s="4">
        <v>485</v>
      </c>
      <c r="AB87" s="4">
        <v>982</v>
      </c>
      <c r="AC87" s="4">
        <v>0.74236202239990234</v>
      </c>
      <c r="AD87" s="4">
        <v>3.3242478370666499</v>
      </c>
      <c r="AE87" s="4">
        <v>2.3425688743591309</v>
      </c>
      <c r="AF87" s="4"/>
      <c r="AG87" s="2">
        <f t="shared" ref="AG87:AG94" si="40">AC87-E3</f>
        <v>0.41661077737808222</v>
      </c>
      <c r="AH87" s="2">
        <f t="shared" ref="AH87:AI94" si="41">F3-AD87</f>
        <v>2.2613167762756352</v>
      </c>
      <c r="AI87" s="53">
        <f t="shared" si="41"/>
        <v>1.5894322395324711</v>
      </c>
      <c r="AJ87" s="47"/>
      <c r="AK87" s="47"/>
      <c r="AL87" s="54">
        <v>7</v>
      </c>
      <c r="AM87" s="4" t="s">
        <v>7</v>
      </c>
      <c r="AN87" s="4">
        <v>518</v>
      </c>
      <c r="AO87" s="4">
        <v>1035</v>
      </c>
      <c r="AP87" s="4">
        <v>-4.450756311416626E-2</v>
      </c>
      <c r="AQ87" s="4">
        <v>2.280976533889771</v>
      </c>
      <c r="AR87" s="4">
        <v>1.670738637447357</v>
      </c>
      <c r="AS87" s="4"/>
      <c r="AT87" s="2">
        <f t="shared" ref="AT87:AT94" si="42">AP87-E3</f>
        <v>-0.37025880813598638</v>
      </c>
      <c r="AU87" s="2">
        <f t="shared" ref="AU87:AV94" si="43">F3-AQ87</f>
        <v>3.3045880794525142</v>
      </c>
      <c r="AV87" s="53">
        <f t="shared" si="43"/>
        <v>2.2612624764442453</v>
      </c>
    </row>
    <row r="88" spans="13:48">
      <c r="M88" s="54">
        <v>2</v>
      </c>
      <c r="N88" s="4" t="s">
        <v>8</v>
      </c>
      <c r="O88" s="4">
        <v>225</v>
      </c>
      <c r="P88" s="4">
        <v>434</v>
      </c>
      <c r="Q88" s="4">
        <v>-0.87189126014709473</v>
      </c>
      <c r="R88" s="4">
        <v>7.0772800445556641</v>
      </c>
      <c r="S88" s="4">
        <v>5.1970877647399902</v>
      </c>
      <c r="T88" s="4"/>
      <c r="U88" s="2">
        <f t="shared" si="38"/>
        <v>-0.93011301755905151</v>
      </c>
      <c r="V88" s="2">
        <f t="shared" si="39"/>
        <v>-2.2322955131530762</v>
      </c>
      <c r="W88" s="53">
        <f t="shared" si="39"/>
        <v>-1.3543789386749272</v>
      </c>
      <c r="X88" s="47"/>
      <c r="Y88" s="54">
        <v>1</v>
      </c>
      <c r="Z88" s="4" t="s">
        <v>8</v>
      </c>
      <c r="AA88" s="4">
        <v>203</v>
      </c>
      <c r="AB88" s="4">
        <v>417</v>
      </c>
      <c r="AC88" s="4">
        <v>0.77387350797653198</v>
      </c>
      <c r="AD88" s="4">
        <v>4.8247418403625488</v>
      </c>
      <c r="AE88" s="4">
        <v>3.5816290378570561</v>
      </c>
      <c r="AF88" s="4"/>
      <c r="AG88" s="2">
        <f t="shared" si="40"/>
        <v>0.7156517505645752</v>
      </c>
      <c r="AH88" s="2">
        <f t="shared" si="41"/>
        <v>2.0242691040039063E-2</v>
      </c>
      <c r="AI88" s="53">
        <f t="shared" si="41"/>
        <v>0.26107978820800692</v>
      </c>
      <c r="AJ88" s="47"/>
      <c r="AK88" s="47"/>
      <c r="AL88" s="54">
        <v>3</v>
      </c>
      <c r="AM88" s="4" t="s">
        <v>8</v>
      </c>
      <c r="AN88" s="4">
        <v>239</v>
      </c>
      <c r="AO88" s="4">
        <v>446</v>
      </c>
      <c r="AP88" s="4">
        <v>-0.69363582134246826</v>
      </c>
      <c r="AQ88" s="4">
        <v>4.2103133201599121</v>
      </c>
      <c r="AR88" s="4">
        <v>2.949938058853149</v>
      </c>
      <c r="AS88" s="4"/>
      <c r="AT88" s="2">
        <f t="shared" si="42"/>
        <v>-0.75185757875442505</v>
      </c>
      <c r="AU88" s="2">
        <f t="shared" si="43"/>
        <v>0.63467121124267578</v>
      </c>
      <c r="AV88" s="53">
        <f t="shared" si="43"/>
        <v>0.89277076721191406</v>
      </c>
    </row>
    <row r="89" spans="13:48">
      <c r="M89" s="54">
        <v>3</v>
      </c>
      <c r="N89" s="4" t="s">
        <v>9</v>
      </c>
      <c r="O89" s="4">
        <v>312</v>
      </c>
      <c r="P89" s="4">
        <v>550</v>
      </c>
      <c r="Q89" s="4">
        <v>0.29153764247894293</v>
      </c>
      <c r="R89" s="4">
        <v>6.595069408416748</v>
      </c>
      <c r="S89" s="4">
        <v>4.2965359687805176</v>
      </c>
      <c r="T89" s="4"/>
      <c r="U89" s="2">
        <f t="shared" si="38"/>
        <v>0.16486465930938723</v>
      </c>
      <c r="V89" s="2">
        <f t="shared" si="39"/>
        <v>-5.4331154823303223</v>
      </c>
      <c r="W89" s="53">
        <f t="shared" si="39"/>
        <v>-3.3309779167175293</v>
      </c>
      <c r="X89" s="47"/>
      <c r="Y89" s="54">
        <v>3</v>
      </c>
      <c r="Z89" s="4" t="s">
        <v>9</v>
      </c>
      <c r="AA89" s="4">
        <v>280</v>
      </c>
      <c r="AB89" s="4">
        <v>476</v>
      </c>
      <c r="AC89" s="4">
        <v>0.52923357486724854</v>
      </c>
      <c r="AD89" s="4">
        <v>3.8539223670959468</v>
      </c>
      <c r="AE89" s="4">
        <v>2.9018385410308838</v>
      </c>
      <c r="AF89" s="4"/>
      <c r="AG89" s="2">
        <f t="shared" si="40"/>
        <v>0.40256059169769287</v>
      </c>
      <c r="AH89" s="2">
        <f t="shared" si="41"/>
        <v>-2.6919684410095206</v>
      </c>
      <c r="AI89" s="53">
        <f t="shared" si="41"/>
        <v>-1.9362804889678955</v>
      </c>
      <c r="AJ89" s="47"/>
      <c r="AK89" s="47"/>
      <c r="AL89" s="54">
        <v>1</v>
      </c>
      <c r="AM89" s="4" t="s">
        <v>9</v>
      </c>
      <c r="AN89" s="4">
        <v>14</v>
      </c>
      <c r="AO89" s="4">
        <v>244</v>
      </c>
      <c r="AP89" s="4">
        <v>-0.29646670818328857</v>
      </c>
      <c r="AQ89" s="4">
        <v>3.941400527954102</v>
      </c>
      <c r="AR89" s="4">
        <v>2.7735335826873779</v>
      </c>
      <c r="AS89" s="4"/>
      <c r="AT89" s="2">
        <f t="shared" si="42"/>
        <v>-0.42313969135284424</v>
      </c>
      <c r="AU89" s="2">
        <f t="shared" si="43"/>
        <v>-2.7794466018676758</v>
      </c>
      <c r="AV89" s="53">
        <f t="shared" si="43"/>
        <v>-1.8079755306243896</v>
      </c>
    </row>
    <row r="90" spans="13:48">
      <c r="M90" s="54">
        <v>7</v>
      </c>
      <c r="N90" s="4" t="s">
        <v>10</v>
      </c>
      <c r="O90" s="4">
        <v>559</v>
      </c>
      <c r="P90" s="4">
        <v>1080</v>
      </c>
      <c r="Q90" s="4">
        <v>4.8922955989837653E-2</v>
      </c>
      <c r="R90" s="4">
        <v>9.7565059661865234</v>
      </c>
      <c r="S90" s="4">
        <v>6.6480152606964111</v>
      </c>
      <c r="T90" s="4"/>
      <c r="U90" s="2">
        <f t="shared" si="38"/>
        <v>-2.7679443359374993E-2</v>
      </c>
      <c r="V90" s="2">
        <f t="shared" si="39"/>
        <v>-5.9777061939239502</v>
      </c>
      <c r="W90" s="53">
        <f t="shared" si="39"/>
        <v>-3.6986026763916011</v>
      </c>
      <c r="X90" s="47"/>
      <c r="Y90" s="54">
        <v>6</v>
      </c>
      <c r="Z90" s="4" t="s">
        <v>10</v>
      </c>
      <c r="AA90" s="4">
        <v>363</v>
      </c>
      <c r="AB90" s="4">
        <v>822</v>
      </c>
      <c r="AC90" s="4">
        <v>0.79291272163391113</v>
      </c>
      <c r="AD90" s="4">
        <v>7.1755452156066886</v>
      </c>
      <c r="AE90" s="4">
        <v>4.0883336067199707</v>
      </c>
      <c r="AF90" s="4"/>
      <c r="AG90" s="2">
        <f t="shared" si="40"/>
        <v>0.71631032228469849</v>
      </c>
      <c r="AH90" s="2">
        <f t="shared" si="41"/>
        <v>-3.3967454433441158</v>
      </c>
      <c r="AI90" s="53">
        <f t="shared" si="41"/>
        <v>-1.1389210224151607</v>
      </c>
      <c r="AJ90" s="47"/>
      <c r="AK90" s="47"/>
      <c r="AL90" s="54">
        <v>6</v>
      </c>
      <c r="AM90" s="4" t="s">
        <v>10</v>
      </c>
      <c r="AN90" s="4">
        <v>509</v>
      </c>
      <c r="AO90" s="4">
        <v>992</v>
      </c>
      <c r="AP90" s="4">
        <v>-0.20350480079650879</v>
      </c>
      <c r="AQ90" s="4">
        <v>5.3492622375488281</v>
      </c>
      <c r="AR90" s="4">
        <v>3.8930704593658452</v>
      </c>
      <c r="AS90" s="4"/>
      <c r="AT90" s="2">
        <f t="shared" si="42"/>
        <v>-0.28010720014572144</v>
      </c>
      <c r="AU90" s="2">
        <f t="shared" si="43"/>
        <v>-1.5704624652862553</v>
      </c>
      <c r="AV90" s="53">
        <f t="shared" si="43"/>
        <v>-0.94365787506103516</v>
      </c>
    </row>
    <row r="91" spans="13:48">
      <c r="M91" s="54">
        <v>0</v>
      </c>
      <c r="N91" s="4" t="s">
        <v>11</v>
      </c>
      <c r="O91" s="4">
        <v>78</v>
      </c>
      <c r="P91" s="4">
        <v>154</v>
      </c>
      <c r="Q91" s="4">
        <v>1.538103818893433E-2</v>
      </c>
      <c r="R91" s="4">
        <v>9.6596641540527344</v>
      </c>
      <c r="S91" s="4">
        <v>6.016416072845459</v>
      </c>
      <c r="T91" s="4"/>
      <c r="U91" s="2">
        <f t="shared" si="38"/>
        <v>-1.0067880153655999E-2</v>
      </c>
      <c r="V91" s="2">
        <f t="shared" si="39"/>
        <v>17.733516693115234</v>
      </c>
      <c r="W91" s="53">
        <f t="shared" si="39"/>
        <v>6.6536746025085414</v>
      </c>
      <c r="X91" s="47"/>
      <c r="Y91" s="54">
        <v>0</v>
      </c>
      <c r="Z91" s="4" t="s">
        <v>11</v>
      </c>
      <c r="AA91" s="4">
        <v>63</v>
      </c>
      <c r="AB91" s="4">
        <v>128</v>
      </c>
      <c r="AC91" s="4">
        <v>0.79316359758377075</v>
      </c>
      <c r="AD91" s="4">
        <v>6.2593851089477539</v>
      </c>
      <c r="AE91" s="4">
        <v>3.8288943767547612</v>
      </c>
      <c r="AF91" s="4"/>
      <c r="AG91" s="2">
        <f t="shared" si="40"/>
        <v>0.76771467924118042</v>
      </c>
      <c r="AH91" s="2">
        <f t="shared" si="41"/>
        <v>21.133795738220215</v>
      </c>
      <c r="AI91" s="53">
        <f t="shared" si="41"/>
        <v>8.8411962985992396</v>
      </c>
      <c r="AJ91" s="47"/>
      <c r="AK91" s="47"/>
      <c r="AL91" s="54">
        <v>0</v>
      </c>
      <c r="AM91" s="4" t="s">
        <v>11</v>
      </c>
      <c r="AN91" s="4">
        <v>70</v>
      </c>
      <c r="AO91" s="4">
        <v>132</v>
      </c>
      <c r="AP91" s="4">
        <v>-0.45592641830444341</v>
      </c>
      <c r="AQ91" s="4">
        <v>2.9108645915985112</v>
      </c>
      <c r="AR91" s="4">
        <v>1.9096575975418091</v>
      </c>
      <c r="AS91" s="4"/>
      <c r="AT91" s="2">
        <f t="shared" si="42"/>
        <v>-0.48137533664703375</v>
      </c>
      <c r="AU91" s="2">
        <f t="shared" si="43"/>
        <v>24.482316255569458</v>
      </c>
      <c r="AV91" s="53">
        <f t="shared" si="43"/>
        <v>10.760433077812191</v>
      </c>
    </row>
    <row r="92" spans="13:48">
      <c r="M92" s="54">
        <v>1</v>
      </c>
      <c r="N92" s="4" t="s">
        <v>12</v>
      </c>
      <c r="O92" s="4">
        <v>210</v>
      </c>
      <c r="P92" s="4">
        <v>417</v>
      </c>
      <c r="Q92" s="4">
        <v>-5.1708459854125977E-2</v>
      </c>
      <c r="R92" s="4">
        <v>3.7859663963317871</v>
      </c>
      <c r="S92" s="4">
        <v>2.957044363021851</v>
      </c>
      <c r="T92" s="4"/>
      <c r="U92" s="2">
        <f t="shared" si="38"/>
        <v>1.436942577362061</v>
      </c>
      <c r="V92" s="2">
        <f t="shared" si="39"/>
        <v>1.2300271987915039</v>
      </c>
      <c r="W92" s="53">
        <f t="shared" si="39"/>
        <v>1.0455014705657946</v>
      </c>
      <c r="X92" s="47"/>
      <c r="Y92" s="54">
        <v>2</v>
      </c>
      <c r="Z92" s="4" t="s">
        <v>12</v>
      </c>
      <c r="AA92" s="4">
        <v>221</v>
      </c>
      <c r="AB92" s="4">
        <v>440</v>
      </c>
      <c r="AC92" s="4">
        <v>0.44337505102157593</v>
      </c>
      <c r="AD92" s="4">
        <v>17.663457870483398</v>
      </c>
      <c r="AE92" s="4">
        <v>4.0960221290588379</v>
      </c>
      <c r="AF92" s="4"/>
      <c r="AG92" s="2">
        <f t="shared" si="40"/>
        <v>1.9320260882377629</v>
      </c>
      <c r="AH92" s="2">
        <f t="shared" si="41"/>
        <v>-12.647464275360107</v>
      </c>
      <c r="AI92" s="53">
        <f t="shared" si="41"/>
        <v>-9.3476295471192294E-2</v>
      </c>
      <c r="AJ92" s="47"/>
      <c r="AK92" s="47"/>
      <c r="AL92" s="54">
        <v>2</v>
      </c>
      <c r="AM92" s="4" t="s">
        <v>12</v>
      </c>
      <c r="AN92" s="4">
        <v>223</v>
      </c>
      <c r="AO92" s="4">
        <v>444</v>
      </c>
      <c r="AP92" s="4">
        <v>-0.68449628353118896</v>
      </c>
      <c r="AQ92" s="4">
        <v>3.326266765594482</v>
      </c>
      <c r="AR92" s="4">
        <v>2.4837567806243901</v>
      </c>
      <c r="AS92" s="4"/>
      <c r="AT92" s="2">
        <f t="shared" si="42"/>
        <v>0.804154753684998</v>
      </c>
      <c r="AU92" s="2">
        <f t="shared" si="43"/>
        <v>1.689726829528809</v>
      </c>
      <c r="AV92" s="53">
        <f t="shared" si="43"/>
        <v>1.5187890529632555</v>
      </c>
    </row>
    <row r="93" spans="13:48">
      <c r="M93" s="54">
        <v>4</v>
      </c>
      <c r="N93" s="4" t="s">
        <v>13</v>
      </c>
      <c r="O93" s="4">
        <v>341</v>
      </c>
      <c r="P93" s="4">
        <v>683</v>
      </c>
      <c r="Q93" s="4">
        <v>-0.1002902984619141</v>
      </c>
      <c r="R93" s="4">
        <v>4.6038017272949219</v>
      </c>
      <c r="S93" s="4">
        <v>3.4219601154327388</v>
      </c>
      <c r="T93" s="4"/>
      <c r="U93" s="2">
        <f t="shared" si="38"/>
        <v>-0.16344088315963751</v>
      </c>
      <c r="V93" s="2">
        <f t="shared" si="39"/>
        <v>-0.18116426467895508</v>
      </c>
      <c r="W93" s="53">
        <f t="shared" si="39"/>
        <v>9.9369287490845171E-2</v>
      </c>
      <c r="X93" s="47"/>
      <c r="Y93" s="54">
        <v>4</v>
      </c>
      <c r="Z93" s="4" t="s">
        <v>13</v>
      </c>
      <c r="AA93" s="4">
        <v>352</v>
      </c>
      <c r="AB93" s="4">
        <v>715</v>
      </c>
      <c r="AC93" s="4">
        <v>0.7743799090385437</v>
      </c>
      <c r="AD93" s="4">
        <v>2.9216737747192378</v>
      </c>
      <c r="AE93" s="4">
        <v>2.2672770023345952</v>
      </c>
      <c r="AF93" s="4"/>
      <c r="AG93" s="2">
        <f t="shared" si="40"/>
        <v>0.71122932434082031</v>
      </c>
      <c r="AH93" s="2">
        <f t="shared" si="41"/>
        <v>1.500963687896729</v>
      </c>
      <c r="AI93" s="53">
        <f t="shared" si="41"/>
        <v>1.2540524005889888</v>
      </c>
      <c r="AJ93" s="47"/>
      <c r="AK93" s="47"/>
      <c r="AL93" s="54">
        <v>5</v>
      </c>
      <c r="AM93" s="4" t="s">
        <v>13</v>
      </c>
      <c r="AN93" s="4">
        <v>371</v>
      </c>
      <c r="AO93" s="4">
        <v>742</v>
      </c>
      <c r="AP93" s="4">
        <v>-0.18007898330688479</v>
      </c>
      <c r="AQ93" s="4">
        <v>3.1810438632965088</v>
      </c>
      <c r="AR93" s="4">
        <v>2.2033669948577881</v>
      </c>
      <c r="AS93" s="4"/>
      <c r="AT93" s="2">
        <f t="shared" si="42"/>
        <v>-0.24322956800460818</v>
      </c>
      <c r="AU93" s="2">
        <f t="shared" si="43"/>
        <v>1.241593599319458</v>
      </c>
      <c r="AV93" s="53">
        <f t="shared" si="43"/>
        <v>1.3179624080657959</v>
      </c>
    </row>
    <row r="94" spans="13:48" ht="15.75" thickBot="1">
      <c r="M94" s="54">
        <v>5</v>
      </c>
      <c r="N94" s="4" t="s">
        <v>14</v>
      </c>
      <c r="O94" s="4">
        <v>433</v>
      </c>
      <c r="P94" s="4">
        <v>879</v>
      </c>
      <c r="Q94" s="4">
        <v>-4.7094225883483887E-2</v>
      </c>
      <c r="R94" s="4">
        <v>7.5345611572265616</v>
      </c>
      <c r="S94" s="4">
        <v>5.4574012756347656</v>
      </c>
      <c r="T94" s="4"/>
      <c r="U94" s="2">
        <f t="shared" si="38"/>
        <v>-1.3684451580047607E-2</v>
      </c>
      <c r="V94" s="2">
        <f t="shared" si="39"/>
        <v>12.232322692871097</v>
      </c>
      <c r="W94" s="53">
        <f t="shared" si="39"/>
        <v>3.1875863075256348</v>
      </c>
      <c r="X94" s="47"/>
      <c r="Y94" s="54">
        <v>5</v>
      </c>
      <c r="Z94" s="4" t="s">
        <v>14</v>
      </c>
      <c r="AA94" s="4">
        <v>386</v>
      </c>
      <c r="AB94" s="4">
        <v>746</v>
      </c>
      <c r="AC94" s="4">
        <v>0.86618280410766602</v>
      </c>
      <c r="AD94" s="4">
        <v>11.625785827636721</v>
      </c>
      <c r="AE94" s="4">
        <v>6.2577967643737793</v>
      </c>
      <c r="AF94" s="4"/>
      <c r="AG94" s="2">
        <f t="shared" si="40"/>
        <v>0.89959257841110229</v>
      </c>
      <c r="AH94" s="2">
        <f t="shared" si="41"/>
        <v>8.1410980224609393</v>
      </c>
      <c r="AI94" s="53">
        <f t="shared" si="41"/>
        <v>2.3871908187866211</v>
      </c>
      <c r="AJ94" s="47"/>
      <c r="AK94" s="47"/>
      <c r="AL94" s="54">
        <v>4</v>
      </c>
      <c r="AM94" s="4" t="s">
        <v>14</v>
      </c>
      <c r="AN94" s="4">
        <v>388</v>
      </c>
      <c r="AO94" s="4">
        <v>741</v>
      </c>
      <c r="AP94" s="4">
        <v>-0.40167737007141108</v>
      </c>
      <c r="AQ94" s="4">
        <v>4.2870478630065918</v>
      </c>
      <c r="AR94" s="4">
        <v>3.4138362407684331</v>
      </c>
      <c r="AS94" s="4"/>
      <c r="AT94" s="2">
        <f t="shared" si="42"/>
        <v>-0.3682675957679748</v>
      </c>
      <c r="AU94" s="2">
        <f t="shared" si="43"/>
        <v>15.479835987091068</v>
      </c>
      <c r="AV94" s="53">
        <f t="shared" si="43"/>
        <v>5.2311513423919678</v>
      </c>
    </row>
    <row r="95" spans="13:48" ht="15.75" thickBot="1">
      <c r="M95" s="55"/>
      <c r="N95" s="56"/>
      <c r="O95" s="56"/>
      <c r="P95" s="56"/>
      <c r="Q95" s="56"/>
      <c r="R95" s="56"/>
      <c r="S95" s="56"/>
      <c r="T95" s="6" t="s">
        <v>19</v>
      </c>
      <c r="U95" s="7">
        <f>SUM(U87:U94)</f>
        <v>0.43061047792434731</v>
      </c>
      <c r="V95" s="7">
        <f>SUM(V87:V94)</f>
        <v>17.744155168533329</v>
      </c>
      <c r="W95" s="8">
        <f>SUM(W87:W94)</f>
        <v>2.7366259098052934</v>
      </c>
      <c r="X95" s="47"/>
      <c r="Y95" s="55"/>
      <c r="Z95" s="56"/>
      <c r="AA95" s="56"/>
      <c r="AB95" s="56"/>
      <c r="AC95" s="56"/>
      <c r="AD95" s="56"/>
      <c r="AE95" s="56"/>
      <c r="AF95" s="6" t="s">
        <v>19</v>
      </c>
      <c r="AG95" s="7">
        <f>SUM(AG87:AG94)</f>
        <v>6.5616961121559143</v>
      </c>
      <c r="AH95" s="7">
        <f>SUM(AH87:AH94)</f>
        <v>14.321238756179811</v>
      </c>
      <c r="AI95" s="8">
        <f>SUM(AI87:AI94)</f>
        <v>11.164273738861079</v>
      </c>
      <c r="AJ95" s="47"/>
      <c r="AK95" s="47"/>
      <c r="AL95" s="55"/>
      <c r="AM95" s="56"/>
      <c r="AN95" s="56"/>
      <c r="AO95" s="56"/>
      <c r="AP95" s="56"/>
      <c r="AQ95" s="56"/>
      <c r="AR95" s="56"/>
      <c r="AS95" s="6" t="s">
        <v>19</v>
      </c>
      <c r="AT95" s="7">
        <f>SUM(AT87:AT94)</f>
        <v>-2.1140810251235957</v>
      </c>
      <c r="AU95" s="7">
        <f>SUM(AU87:AU94)</f>
        <v>42.482822895050049</v>
      </c>
      <c r="AV95" s="8">
        <f>SUM(AV87:AV94)</f>
        <v>19.230735719203942</v>
      </c>
    </row>
    <row r="97" spans="12:48" ht="15.75" thickBot="1"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</row>
    <row r="98" spans="12:48" ht="27.75" customHeight="1">
      <c r="L98" s="75">
        <v>7</v>
      </c>
      <c r="M98" s="69" t="s">
        <v>50</v>
      </c>
      <c r="N98" s="70"/>
      <c r="O98" s="70"/>
      <c r="P98" s="70"/>
      <c r="Q98" s="70"/>
      <c r="R98" s="70"/>
      <c r="S98" s="70"/>
      <c r="T98" s="70"/>
      <c r="U98" s="70"/>
      <c r="V98" s="70"/>
      <c r="W98" s="71"/>
      <c r="X98" s="75">
        <v>8</v>
      </c>
      <c r="Y98" s="86" t="s">
        <v>52</v>
      </c>
      <c r="Z98" s="87"/>
      <c r="AA98" s="87"/>
      <c r="AB98" s="87"/>
      <c r="AC98" s="87"/>
      <c r="AD98" s="87"/>
      <c r="AE98" s="87"/>
      <c r="AF98" s="87"/>
      <c r="AG98" s="87"/>
      <c r="AH98" s="87"/>
      <c r="AI98" s="88"/>
      <c r="AJ98" s="47"/>
      <c r="AK98" s="75">
        <v>9</v>
      </c>
      <c r="AL98" s="80" t="s">
        <v>58</v>
      </c>
      <c r="AM98" s="81"/>
      <c r="AN98" s="81"/>
      <c r="AO98" s="81"/>
      <c r="AP98" s="81"/>
      <c r="AQ98" s="81"/>
      <c r="AR98" s="81"/>
      <c r="AS98" s="81"/>
      <c r="AT98" s="81"/>
      <c r="AU98" s="81"/>
      <c r="AV98" s="82"/>
    </row>
    <row r="99" spans="12:48" ht="27.75" customHeight="1" thickBot="1">
      <c r="L99" s="76"/>
      <c r="M99" s="72"/>
      <c r="N99" s="73"/>
      <c r="O99" s="73"/>
      <c r="P99" s="73"/>
      <c r="Q99" s="73"/>
      <c r="R99" s="73"/>
      <c r="S99" s="73"/>
      <c r="T99" s="73"/>
      <c r="U99" s="73"/>
      <c r="V99" s="73"/>
      <c r="W99" s="74"/>
      <c r="X99" s="76"/>
      <c r="Y99" s="89"/>
      <c r="Z99" s="90"/>
      <c r="AA99" s="90"/>
      <c r="AB99" s="90"/>
      <c r="AC99" s="90"/>
      <c r="AD99" s="90"/>
      <c r="AE99" s="90"/>
      <c r="AF99" s="90"/>
      <c r="AG99" s="90"/>
      <c r="AH99" s="90"/>
      <c r="AI99" s="91"/>
      <c r="AJ99" s="47"/>
      <c r="AK99" s="76"/>
      <c r="AL99" s="83"/>
      <c r="AM99" s="84"/>
      <c r="AN99" s="84"/>
      <c r="AO99" s="84"/>
      <c r="AP99" s="84"/>
      <c r="AQ99" s="84"/>
      <c r="AR99" s="84"/>
      <c r="AS99" s="84"/>
      <c r="AT99" s="84"/>
      <c r="AU99" s="84"/>
      <c r="AV99" s="85"/>
    </row>
    <row r="100" spans="12:48">
      <c r="M100" s="51"/>
      <c r="N100" s="4"/>
      <c r="O100" s="4"/>
      <c r="P100" s="4"/>
      <c r="Q100" s="4"/>
      <c r="R100" s="4"/>
      <c r="S100" s="4"/>
      <c r="T100" s="4"/>
      <c r="U100" s="4"/>
      <c r="V100" s="4"/>
      <c r="W100" s="52"/>
      <c r="X100" s="47"/>
      <c r="Y100" s="77" t="s">
        <v>67</v>
      </c>
      <c r="Z100" s="78"/>
      <c r="AA100" s="78"/>
      <c r="AB100" s="78"/>
      <c r="AC100" s="78"/>
      <c r="AD100" s="78"/>
      <c r="AE100" s="78"/>
      <c r="AF100" s="78"/>
      <c r="AG100" s="78"/>
      <c r="AH100" s="78"/>
      <c r="AI100" s="79"/>
      <c r="AJ100" s="47"/>
      <c r="AK100" s="47"/>
      <c r="AL100" s="51"/>
      <c r="AM100" s="4"/>
      <c r="AN100" s="4"/>
      <c r="AO100" s="4"/>
      <c r="AP100" s="4"/>
      <c r="AQ100" s="4"/>
      <c r="AR100" s="4"/>
      <c r="AS100" s="4"/>
      <c r="AT100" s="4"/>
      <c r="AU100" s="4"/>
      <c r="AV100" s="52"/>
    </row>
    <row r="101" spans="12:48">
      <c r="M101" s="51"/>
      <c r="N101" s="68" t="s">
        <v>43</v>
      </c>
      <c r="O101" s="68"/>
      <c r="P101" s="68"/>
      <c r="Q101" s="68"/>
      <c r="R101" s="68"/>
      <c r="S101" s="68"/>
      <c r="T101" s="4"/>
      <c r="U101" s="4"/>
      <c r="V101" s="4"/>
      <c r="W101" s="52"/>
      <c r="X101" s="47"/>
      <c r="Y101" s="51"/>
      <c r="Z101" s="68" t="s">
        <v>43</v>
      </c>
      <c r="AA101" s="68"/>
      <c r="AB101" s="68"/>
      <c r="AC101" s="68"/>
      <c r="AD101" s="68"/>
      <c r="AE101" s="68"/>
      <c r="AF101" s="4"/>
      <c r="AG101" s="4"/>
      <c r="AH101" s="4"/>
      <c r="AI101" s="52"/>
      <c r="AJ101" s="47"/>
      <c r="AK101" s="47"/>
      <c r="AL101" s="51"/>
      <c r="AM101" s="68" t="s">
        <v>43</v>
      </c>
      <c r="AN101" s="68"/>
      <c r="AO101" s="68"/>
      <c r="AP101" s="68"/>
      <c r="AQ101" s="68"/>
      <c r="AR101" s="68"/>
      <c r="AS101" s="4"/>
      <c r="AT101" s="4"/>
      <c r="AU101" s="4"/>
      <c r="AV101" s="52"/>
    </row>
    <row r="102" spans="12:48">
      <c r="L102"/>
      <c r="M102" s="47"/>
      <c r="N102" s="48" t="s">
        <v>0</v>
      </c>
      <c r="O102" s="48" t="s">
        <v>1</v>
      </c>
      <c r="P102" s="48" t="s">
        <v>2</v>
      </c>
      <c r="Q102" s="48" t="s">
        <v>3</v>
      </c>
      <c r="R102" s="48" t="s">
        <v>4</v>
      </c>
      <c r="S102" s="48" t="s">
        <v>5</v>
      </c>
      <c r="T102" s="4"/>
      <c r="U102" s="2" t="s">
        <v>17</v>
      </c>
      <c r="V102" s="2" t="s">
        <v>18</v>
      </c>
      <c r="W102" s="53" t="s">
        <v>18</v>
      </c>
      <c r="X102" s="47"/>
      <c r="Y102" s="47"/>
      <c r="Z102" s="48" t="s">
        <v>0</v>
      </c>
      <c r="AA102" s="48" t="s">
        <v>1</v>
      </c>
      <c r="AB102" s="48" t="s">
        <v>2</v>
      </c>
      <c r="AC102" s="48" t="s">
        <v>3</v>
      </c>
      <c r="AD102" s="48" t="s">
        <v>4</v>
      </c>
      <c r="AE102" s="48" t="s">
        <v>5</v>
      </c>
      <c r="AF102" s="4"/>
      <c r="AG102" s="2" t="s">
        <v>17</v>
      </c>
      <c r="AH102" s="2" t="s">
        <v>18</v>
      </c>
      <c r="AI102" s="53" t="s">
        <v>18</v>
      </c>
      <c r="AJ102" s="47"/>
      <c r="AK102" s="47"/>
      <c r="AL102" s="47"/>
      <c r="AM102" s="48" t="s">
        <v>0</v>
      </c>
      <c r="AN102" s="48" t="s">
        <v>1</v>
      </c>
      <c r="AO102" s="48" t="s">
        <v>2</v>
      </c>
      <c r="AP102" s="48" t="s">
        <v>3</v>
      </c>
      <c r="AQ102" s="48" t="s">
        <v>4</v>
      </c>
      <c r="AR102" s="48" t="s">
        <v>5</v>
      </c>
      <c r="AS102" s="4"/>
      <c r="AT102" s="2" t="s">
        <v>17</v>
      </c>
      <c r="AU102" s="2" t="s">
        <v>18</v>
      </c>
      <c r="AV102" s="53" t="s">
        <v>18</v>
      </c>
    </row>
    <row r="103" spans="12:48">
      <c r="L103"/>
      <c r="M103" s="48">
        <v>7</v>
      </c>
      <c r="N103" s="47" t="s">
        <v>7</v>
      </c>
      <c r="O103" s="47">
        <v>0</v>
      </c>
      <c r="P103" s="47">
        <v>517</v>
      </c>
      <c r="Q103" s="47">
        <v>2.1878242492675781E-2</v>
      </c>
      <c r="R103" s="47">
        <v>3.1599631309509282</v>
      </c>
      <c r="S103" s="47">
        <v>2.0041172504425049</v>
      </c>
      <c r="T103" s="4"/>
      <c r="U103" s="2">
        <f t="shared" ref="U103:U110" si="44">Q103-E3</f>
        <v>-0.30387300252914434</v>
      </c>
      <c r="V103" s="2">
        <f t="shared" ref="V103:W110" si="45">F3-R103</f>
        <v>2.425601482391357</v>
      </c>
      <c r="W103" s="2">
        <f t="shared" si="45"/>
        <v>1.9278838634490971</v>
      </c>
      <c r="X103" s="47"/>
      <c r="Y103" s="48">
        <v>7</v>
      </c>
      <c r="Z103" s="47" t="s">
        <v>7</v>
      </c>
      <c r="AA103" s="47">
        <v>0</v>
      </c>
      <c r="AB103" s="47">
        <v>506</v>
      </c>
      <c r="AC103" s="47">
        <v>-4.1051864624023438E-2</v>
      </c>
      <c r="AD103" s="47">
        <v>3.06714916229248</v>
      </c>
      <c r="AE103" s="47">
        <v>1.9389438629150391</v>
      </c>
      <c r="AF103" s="4"/>
      <c r="AG103" s="2">
        <f t="shared" ref="AG103:AG110" si="46">AC103-E3</f>
        <v>-0.36680310964584356</v>
      </c>
      <c r="AH103" s="2">
        <f t="shared" ref="AH103:AI110" si="47">F3-AD103</f>
        <v>2.5184154510498051</v>
      </c>
      <c r="AI103" s="2">
        <f t="shared" si="47"/>
        <v>1.9930572509765629</v>
      </c>
      <c r="AJ103" s="47"/>
      <c r="AK103" s="47"/>
      <c r="AL103" s="48">
        <v>6</v>
      </c>
      <c r="AM103" s="47" t="s">
        <v>7</v>
      </c>
      <c r="AN103" s="47">
        <v>0</v>
      </c>
      <c r="AO103" s="47">
        <v>499</v>
      </c>
      <c r="AP103" s="47">
        <v>0.14872705936431879</v>
      </c>
      <c r="AQ103" s="47">
        <v>6.017949104309082</v>
      </c>
      <c r="AR103" s="47">
        <v>3.921771764755249</v>
      </c>
      <c r="AS103" s="4"/>
      <c r="AT103" s="2">
        <f t="shared" ref="AT103:AT110" si="48">AP103-E3</f>
        <v>-0.17702418565750133</v>
      </c>
      <c r="AU103" s="2">
        <f t="shared" ref="AU103:AV110" si="49">F3-AQ103</f>
        <v>-0.43238449096679688</v>
      </c>
      <c r="AV103" s="2">
        <f t="shared" si="49"/>
        <v>1.0229349136352983E-2</v>
      </c>
    </row>
    <row r="104" spans="12:48">
      <c r="L104"/>
      <c r="M104" s="48">
        <v>1</v>
      </c>
      <c r="N104" s="47" t="s">
        <v>8</v>
      </c>
      <c r="O104" s="47">
        <v>0</v>
      </c>
      <c r="P104" s="47">
        <v>207</v>
      </c>
      <c r="Q104" s="47">
        <v>-0.55099344253540039</v>
      </c>
      <c r="R104" s="47">
        <v>4.1590046882629386</v>
      </c>
      <c r="S104" s="47">
        <v>2.9994652271270752</v>
      </c>
      <c r="T104" s="4"/>
      <c r="U104" s="2">
        <f t="shared" si="44"/>
        <v>-0.60921519994735718</v>
      </c>
      <c r="V104" s="2">
        <f t="shared" si="45"/>
        <v>0.68597984313964933</v>
      </c>
      <c r="W104" s="2">
        <f t="shared" si="45"/>
        <v>0.84324359893798784</v>
      </c>
      <c r="X104" s="47"/>
      <c r="Y104" s="48">
        <v>1</v>
      </c>
      <c r="Z104" s="47" t="s">
        <v>8</v>
      </c>
      <c r="AA104" s="47">
        <v>0</v>
      </c>
      <c r="AB104" s="47">
        <v>198</v>
      </c>
      <c r="AC104" s="47">
        <v>-0.65923881530761719</v>
      </c>
      <c r="AD104" s="47">
        <v>4.3653316497802734</v>
      </c>
      <c r="AE104" s="47">
        <v>3.2247574329376221</v>
      </c>
      <c r="AF104" s="4"/>
      <c r="AG104" s="2">
        <f t="shared" si="46"/>
        <v>-0.71746057271957397</v>
      </c>
      <c r="AH104" s="2">
        <f t="shared" si="47"/>
        <v>0.47965288162231445</v>
      </c>
      <c r="AI104" s="2">
        <f t="shared" si="47"/>
        <v>0.61795139312744096</v>
      </c>
      <c r="AJ104" s="47"/>
      <c r="AK104" s="47"/>
      <c r="AL104" s="48">
        <v>2</v>
      </c>
      <c r="AM104" s="47" t="s">
        <v>8</v>
      </c>
      <c r="AN104" s="47">
        <v>0</v>
      </c>
      <c r="AO104" s="47">
        <v>208</v>
      </c>
      <c r="AP104" s="47">
        <v>5.3536891937255859E-4</v>
      </c>
      <c r="AQ104" s="47">
        <v>5.5805611610412598</v>
      </c>
      <c r="AR104" s="47">
        <v>4.2920651435852051</v>
      </c>
      <c r="AS104" s="4"/>
      <c r="AT104" s="2">
        <f t="shared" si="48"/>
        <v>-5.7686388492584229E-2</v>
      </c>
      <c r="AU104" s="2">
        <f t="shared" si="49"/>
        <v>-0.73557662963867188</v>
      </c>
      <c r="AV104" s="2">
        <f t="shared" si="49"/>
        <v>-0.44935631752014205</v>
      </c>
    </row>
    <row r="105" spans="12:48">
      <c r="L105"/>
      <c r="M105" s="48">
        <v>3</v>
      </c>
      <c r="N105" s="47" t="s">
        <v>9</v>
      </c>
      <c r="O105" s="47">
        <v>0</v>
      </c>
      <c r="P105" s="47">
        <v>230</v>
      </c>
      <c r="Q105" s="47">
        <v>-0.37306857109069819</v>
      </c>
      <c r="R105" s="47">
        <v>4.1342802047729492</v>
      </c>
      <c r="S105" s="47">
        <v>2.82732081413269</v>
      </c>
      <c r="T105" s="4"/>
      <c r="U105" s="2">
        <f t="shared" si="44"/>
        <v>-0.49974155426025391</v>
      </c>
      <c r="V105" s="2">
        <f t="shared" si="45"/>
        <v>-2.9723262786865234</v>
      </c>
      <c r="W105" s="2">
        <f t="shared" si="45"/>
        <v>-1.8617627620697017</v>
      </c>
      <c r="X105" s="47"/>
      <c r="Y105" s="48">
        <v>3</v>
      </c>
      <c r="Z105" s="47" t="s">
        <v>9</v>
      </c>
      <c r="AA105" s="47">
        <v>0</v>
      </c>
      <c r="AB105" s="47">
        <v>235</v>
      </c>
      <c r="AC105" s="47">
        <v>-0.38535284996032709</v>
      </c>
      <c r="AD105" s="47">
        <v>4.7389888763427734</v>
      </c>
      <c r="AE105" s="47">
        <v>3.0111935138702388</v>
      </c>
      <c r="AF105" s="4"/>
      <c r="AG105" s="2">
        <f t="shared" si="46"/>
        <v>-0.51202583312988281</v>
      </c>
      <c r="AH105" s="2">
        <f t="shared" si="47"/>
        <v>-3.5770349502563477</v>
      </c>
      <c r="AI105" s="2">
        <f t="shared" si="47"/>
        <v>-2.0456354618072505</v>
      </c>
      <c r="AJ105" s="47"/>
      <c r="AK105" s="47"/>
      <c r="AL105" s="48">
        <v>3</v>
      </c>
      <c r="AM105" s="47" t="s">
        <v>9</v>
      </c>
      <c r="AN105" s="47">
        <v>0</v>
      </c>
      <c r="AO105" s="47">
        <v>234</v>
      </c>
      <c r="AP105" s="47">
        <v>0.31409531831741327</v>
      </c>
      <c r="AQ105" s="47">
        <v>8.5575342178344727</v>
      </c>
      <c r="AR105" s="47">
        <v>5.5682148933410636</v>
      </c>
      <c r="AS105" s="4"/>
      <c r="AT105" s="2">
        <f t="shared" si="48"/>
        <v>0.18742233514785758</v>
      </c>
      <c r="AU105" s="2">
        <f t="shared" si="49"/>
        <v>-7.3955802917480469</v>
      </c>
      <c r="AV105" s="2">
        <f t="shared" si="49"/>
        <v>-4.6026568412780753</v>
      </c>
    </row>
    <row r="106" spans="12:48">
      <c r="L106"/>
      <c r="M106" s="48">
        <v>6</v>
      </c>
      <c r="N106" s="47" t="s">
        <v>10</v>
      </c>
      <c r="O106" s="47">
        <v>0</v>
      </c>
      <c r="P106" s="47">
        <v>483</v>
      </c>
      <c r="Q106" s="47">
        <v>-6.2432169914245612E-2</v>
      </c>
      <c r="R106" s="47">
        <v>3.682056188583374</v>
      </c>
      <c r="S106" s="47">
        <v>2.572925329208374</v>
      </c>
      <c r="T106" s="4"/>
      <c r="U106" s="2">
        <f t="shared" si="44"/>
        <v>-0.13903456926345825</v>
      </c>
      <c r="V106" s="2">
        <f t="shared" si="45"/>
        <v>9.6743583679198775E-2</v>
      </c>
      <c r="W106" s="2">
        <f t="shared" si="45"/>
        <v>0.37648725509643599</v>
      </c>
      <c r="X106" s="47"/>
      <c r="Y106" s="48">
        <v>6</v>
      </c>
      <c r="Z106" s="47" t="s">
        <v>10</v>
      </c>
      <c r="AA106" s="47">
        <v>0</v>
      </c>
      <c r="AB106" s="47">
        <v>410</v>
      </c>
      <c r="AC106" s="47">
        <v>-0.21283578872680661</v>
      </c>
      <c r="AD106" s="47">
        <v>4.166506290435791</v>
      </c>
      <c r="AE106" s="47">
        <v>2.73215651512146</v>
      </c>
      <c r="AF106" s="4"/>
      <c r="AG106" s="2">
        <f t="shared" si="46"/>
        <v>-0.28943818807601929</v>
      </c>
      <c r="AH106" s="2">
        <f t="shared" si="47"/>
        <v>-0.38770651817321822</v>
      </c>
      <c r="AI106" s="2">
        <f t="shared" si="47"/>
        <v>0.21725606918335005</v>
      </c>
      <c r="AJ106" s="47"/>
      <c r="AK106" s="47"/>
      <c r="AL106" s="48">
        <v>7</v>
      </c>
      <c r="AM106" s="47" t="s">
        <v>10</v>
      </c>
      <c r="AN106" s="47">
        <v>0</v>
      </c>
      <c r="AO106" s="47">
        <v>512</v>
      </c>
      <c r="AP106" s="47">
        <v>0.1748848557472229</v>
      </c>
      <c r="AQ106" s="47">
        <v>7.5796818733215332</v>
      </c>
      <c r="AR106" s="47">
        <v>4.7036242485046387</v>
      </c>
      <c r="AS106" s="4"/>
      <c r="AT106" s="2">
        <f t="shared" si="48"/>
        <v>9.8282456398010254E-2</v>
      </c>
      <c r="AU106" s="2">
        <f t="shared" si="49"/>
        <v>-3.8008821010589604</v>
      </c>
      <c r="AV106" s="2">
        <f t="shared" si="49"/>
        <v>-1.7542116641998287</v>
      </c>
    </row>
    <row r="107" spans="12:48">
      <c r="L107"/>
      <c r="M107" s="48">
        <v>0</v>
      </c>
      <c r="N107" s="47" t="s">
        <v>11</v>
      </c>
      <c r="O107" s="47">
        <v>0</v>
      </c>
      <c r="P107" s="47">
        <v>62</v>
      </c>
      <c r="Q107" s="47">
        <v>-0.67538976669311523</v>
      </c>
      <c r="R107" s="47">
        <v>2.9093971252441411</v>
      </c>
      <c r="S107" s="47">
        <v>1.791604161262512</v>
      </c>
      <c r="T107" s="4"/>
      <c r="U107" s="2">
        <f t="shared" si="44"/>
        <v>-0.70083868503570557</v>
      </c>
      <c r="V107" s="2">
        <f t="shared" si="45"/>
        <v>24.483783721923828</v>
      </c>
      <c r="W107" s="2">
        <f t="shared" si="45"/>
        <v>10.878486514091488</v>
      </c>
      <c r="X107" s="47"/>
      <c r="Y107" s="48">
        <v>0</v>
      </c>
      <c r="Z107" s="47" t="s">
        <v>11</v>
      </c>
      <c r="AA107" s="47">
        <v>0</v>
      </c>
      <c r="AB107" s="47">
        <v>63</v>
      </c>
      <c r="AC107" s="47">
        <v>-0.59336423873901367</v>
      </c>
      <c r="AD107" s="47">
        <v>4.0067248344421387</v>
      </c>
      <c r="AE107" s="47">
        <v>2.27210521697998</v>
      </c>
      <c r="AF107" s="4"/>
      <c r="AG107" s="2">
        <f t="shared" si="46"/>
        <v>-0.618813157081604</v>
      </c>
      <c r="AH107" s="2">
        <f t="shared" si="47"/>
        <v>23.38645601272583</v>
      </c>
      <c r="AI107" s="2">
        <f t="shared" si="47"/>
        <v>10.39798545837402</v>
      </c>
      <c r="AJ107" s="47"/>
      <c r="AK107" s="47"/>
      <c r="AL107" s="48">
        <v>0</v>
      </c>
      <c r="AM107" s="47" t="s">
        <v>11</v>
      </c>
      <c r="AN107" s="47">
        <v>0</v>
      </c>
      <c r="AO107" s="47">
        <v>75</v>
      </c>
      <c r="AP107" s="47">
        <v>-0.29323947429656982</v>
      </c>
      <c r="AQ107" s="47">
        <v>10.321662902832029</v>
      </c>
      <c r="AR107" s="47">
        <v>6.5601048469543457</v>
      </c>
      <c r="AS107" s="4"/>
      <c r="AT107" s="2">
        <f t="shared" si="48"/>
        <v>-0.31868839263916016</v>
      </c>
      <c r="AU107" s="2">
        <f t="shared" si="49"/>
        <v>17.071517944335938</v>
      </c>
      <c r="AV107" s="2">
        <f t="shared" si="49"/>
        <v>6.1099858283996547</v>
      </c>
    </row>
    <row r="108" spans="12:48">
      <c r="L108"/>
      <c r="M108" s="48">
        <v>2</v>
      </c>
      <c r="N108" s="47" t="s">
        <v>12</v>
      </c>
      <c r="O108" s="47">
        <v>0</v>
      </c>
      <c r="P108" s="47">
        <v>221</v>
      </c>
      <c r="Q108" s="47">
        <v>-8.7040543556213379E-2</v>
      </c>
      <c r="R108" s="47">
        <v>2.6048238277435298</v>
      </c>
      <c r="S108" s="47">
        <v>1.8993444442749019</v>
      </c>
      <c r="T108" s="4"/>
      <c r="U108" s="2">
        <f t="shared" si="44"/>
        <v>1.4016104936599736</v>
      </c>
      <c r="V108" s="2">
        <f t="shared" si="45"/>
        <v>2.4111697673797612</v>
      </c>
      <c r="W108" s="2">
        <f t="shared" si="45"/>
        <v>2.1032013893127437</v>
      </c>
      <c r="X108" s="47"/>
      <c r="Y108" s="48">
        <v>2</v>
      </c>
      <c r="Z108" s="47" t="s">
        <v>12</v>
      </c>
      <c r="AA108" s="47">
        <v>0</v>
      </c>
      <c r="AB108" s="47">
        <v>216</v>
      </c>
      <c r="AC108" s="47">
        <v>-6.2013506889343262E-2</v>
      </c>
      <c r="AD108" s="47">
        <v>2.4057116508483891</v>
      </c>
      <c r="AE108" s="47">
        <v>1.7323964834213259</v>
      </c>
      <c r="AF108" s="4"/>
      <c r="AG108" s="2">
        <f t="shared" si="46"/>
        <v>1.4266375303268437</v>
      </c>
      <c r="AH108" s="2">
        <f t="shared" si="47"/>
        <v>2.6102819442749019</v>
      </c>
      <c r="AI108" s="2">
        <f t="shared" si="47"/>
        <v>2.2701493501663199</v>
      </c>
      <c r="AJ108" s="47"/>
      <c r="AK108" s="47"/>
      <c r="AL108" s="48">
        <v>1</v>
      </c>
      <c r="AM108" s="47" t="s">
        <v>12</v>
      </c>
      <c r="AN108" s="47">
        <v>0</v>
      </c>
      <c r="AO108" s="47">
        <v>200</v>
      </c>
      <c r="AP108" s="47">
        <v>-8.8637232780456543E-2</v>
      </c>
      <c r="AQ108" s="47">
        <v>3.9373726844787602</v>
      </c>
      <c r="AR108" s="47">
        <v>2.963985681533813</v>
      </c>
      <c r="AS108" s="4"/>
      <c r="AT108" s="2">
        <f t="shared" si="48"/>
        <v>1.4000138044357304</v>
      </c>
      <c r="AU108" s="2">
        <f t="shared" si="49"/>
        <v>1.0786209106445308</v>
      </c>
      <c r="AV108" s="2">
        <f t="shared" si="49"/>
        <v>1.0385601520538326</v>
      </c>
    </row>
    <row r="109" spans="12:48">
      <c r="L109"/>
      <c r="M109" s="48">
        <v>5</v>
      </c>
      <c r="N109" s="47" t="s">
        <v>13</v>
      </c>
      <c r="O109" s="47">
        <v>0</v>
      </c>
      <c r="P109" s="47">
        <v>371</v>
      </c>
      <c r="Q109" s="47">
        <v>-0.20049798488616941</v>
      </c>
      <c r="R109" s="47">
        <v>3.149741649627686</v>
      </c>
      <c r="S109" s="47">
        <v>2.119901180267334</v>
      </c>
      <c r="T109" s="4"/>
      <c r="U109" s="2">
        <f t="shared" si="44"/>
        <v>-0.26364856958389282</v>
      </c>
      <c r="V109" s="2">
        <f t="shared" si="45"/>
        <v>1.2728958129882808</v>
      </c>
      <c r="W109" s="2">
        <f t="shared" si="45"/>
        <v>1.40142822265625</v>
      </c>
      <c r="X109" s="47"/>
      <c r="Y109" s="48">
        <v>5</v>
      </c>
      <c r="Z109" s="47" t="s">
        <v>13</v>
      </c>
      <c r="AA109" s="47">
        <v>0</v>
      </c>
      <c r="AB109" s="47">
        <v>366</v>
      </c>
      <c r="AC109" s="47">
        <v>-0.35446262359619141</v>
      </c>
      <c r="AD109" s="47">
        <v>3.2725017070770259</v>
      </c>
      <c r="AE109" s="47">
        <v>2.2491788864135742</v>
      </c>
      <c r="AF109" s="4"/>
      <c r="AG109" s="2">
        <f t="shared" si="46"/>
        <v>-0.41761320829391479</v>
      </c>
      <c r="AH109" s="2">
        <f t="shared" si="47"/>
        <v>1.1501357555389409</v>
      </c>
      <c r="AI109" s="2">
        <f t="shared" si="47"/>
        <v>1.2721505165100098</v>
      </c>
      <c r="AJ109" s="47"/>
      <c r="AK109" s="47"/>
      <c r="AL109" s="48">
        <v>4</v>
      </c>
      <c r="AM109" s="47" t="s">
        <v>13</v>
      </c>
      <c r="AN109" s="47">
        <v>0</v>
      </c>
      <c r="AO109" s="47">
        <v>334</v>
      </c>
      <c r="AP109" s="47">
        <v>-4.6329140663146973E-2</v>
      </c>
      <c r="AQ109" s="47">
        <v>4.787628173828125</v>
      </c>
      <c r="AR109" s="47">
        <v>3.489477157592773</v>
      </c>
      <c r="AS109" s="4"/>
      <c r="AT109" s="2">
        <f t="shared" si="48"/>
        <v>-0.10947972536087036</v>
      </c>
      <c r="AU109" s="2">
        <f t="shared" si="49"/>
        <v>-0.3649907112121582</v>
      </c>
      <c r="AV109" s="2">
        <f t="shared" si="49"/>
        <v>3.1852245330810991E-2</v>
      </c>
    </row>
    <row r="110" spans="12:48" ht="15.75" thickBot="1">
      <c r="L110"/>
      <c r="M110" s="48">
        <v>4</v>
      </c>
      <c r="N110" s="47" t="s">
        <v>14</v>
      </c>
      <c r="O110" s="47">
        <v>0</v>
      </c>
      <c r="P110" s="47">
        <v>353</v>
      </c>
      <c r="Q110" s="47">
        <v>-0.30345499515533447</v>
      </c>
      <c r="R110" s="47">
        <v>3.999199390411377</v>
      </c>
      <c r="S110" s="47">
        <v>3.018255472183228</v>
      </c>
      <c r="T110" s="4"/>
      <c r="U110" s="2">
        <f t="shared" si="44"/>
        <v>-0.27004522085189819</v>
      </c>
      <c r="V110" s="2">
        <f t="shared" si="45"/>
        <v>15.767684459686283</v>
      </c>
      <c r="W110" s="2">
        <f t="shared" si="45"/>
        <v>5.6267321109771729</v>
      </c>
      <c r="X110" s="47"/>
      <c r="Y110" s="48">
        <v>4</v>
      </c>
      <c r="Z110" s="47" t="s">
        <v>14</v>
      </c>
      <c r="AA110" s="47">
        <v>0</v>
      </c>
      <c r="AB110" s="47">
        <v>319</v>
      </c>
      <c r="AC110" s="47">
        <v>-0.24595379829406741</v>
      </c>
      <c r="AD110" s="47">
        <v>4.0242552757263184</v>
      </c>
      <c r="AE110" s="47">
        <v>2.8877460956573491</v>
      </c>
      <c r="AF110" s="4"/>
      <c r="AG110" s="2">
        <f t="shared" si="46"/>
        <v>-0.21254402399063113</v>
      </c>
      <c r="AH110" s="2">
        <f t="shared" si="47"/>
        <v>15.742628574371341</v>
      </c>
      <c r="AI110" s="2">
        <f t="shared" si="47"/>
        <v>5.7572414875030518</v>
      </c>
      <c r="AJ110" s="47"/>
      <c r="AK110" s="47"/>
      <c r="AL110" s="48">
        <v>5</v>
      </c>
      <c r="AM110" s="47" t="s">
        <v>14</v>
      </c>
      <c r="AN110" s="47">
        <v>0</v>
      </c>
      <c r="AO110" s="47">
        <v>445</v>
      </c>
      <c r="AP110" s="47">
        <v>-3.4948587417602539E-2</v>
      </c>
      <c r="AQ110" s="47">
        <v>7.8522329330444336</v>
      </c>
      <c r="AR110" s="47">
        <v>5.5296311378479004</v>
      </c>
      <c r="AS110" s="4"/>
      <c r="AT110" s="2">
        <f t="shared" si="48"/>
        <v>-1.5388131141662598E-3</v>
      </c>
      <c r="AU110" s="2">
        <f t="shared" si="49"/>
        <v>11.914650917053226</v>
      </c>
      <c r="AV110" s="2">
        <f t="shared" si="49"/>
        <v>3.1153564453125</v>
      </c>
    </row>
    <row r="111" spans="12:48" ht="15.75" thickBot="1">
      <c r="L111"/>
      <c r="M111" s="51"/>
      <c r="N111" s="4"/>
      <c r="O111" s="4"/>
      <c r="P111" s="4"/>
      <c r="Q111" s="4"/>
      <c r="R111" s="4"/>
      <c r="S111" s="4"/>
      <c r="T111" s="6" t="s">
        <v>19</v>
      </c>
      <c r="U111" s="7">
        <f>SUM(U103:U110)</f>
        <v>-1.3847863078117366</v>
      </c>
      <c r="V111" s="7">
        <f>SUM(V103:V110)</f>
        <v>44.171532392501831</v>
      </c>
      <c r="W111" s="8">
        <f>SUM(W103:W110)</f>
        <v>21.295700192451473</v>
      </c>
      <c r="X111" s="47"/>
      <c r="Y111" s="51"/>
      <c r="Z111" s="4"/>
      <c r="AA111" s="4"/>
      <c r="AB111" s="4"/>
      <c r="AC111" s="4"/>
      <c r="AD111" s="4"/>
      <c r="AE111" s="4"/>
      <c r="AF111" s="6" t="s">
        <v>19</v>
      </c>
      <c r="AG111" s="7">
        <f>SUM(AG103:AG110)</f>
        <v>-1.7080605626106258</v>
      </c>
      <c r="AH111" s="7">
        <f>SUM(AH103:AH110)</f>
        <v>41.922829151153564</v>
      </c>
      <c r="AI111" s="8">
        <f>SUM(AI103:AI110)</f>
        <v>20.480156064033505</v>
      </c>
      <c r="AJ111" s="47"/>
      <c r="AK111" s="47"/>
      <c r="AL111" s="51"/>
      <c r="AM111" s="4"/>
      <c r="AN111" s="4"/>
      <c r="AO111" s="4"/>
      <c r="AP111" s="4"/>
      <c r="AQ111" s="4"/>
      <c r="AR111" s="4"/>
      <c r="AS111" s="6" t="s">
        <v>19</v>
      </c>
      <c r="AT111" s="7">
        <f>SUM(AT103:AT110)</f>
        <v>1.0213010907173159</v>
      </c>
      <c r="AU111" s="7">
        <f>SUM(AU103:AU110)</f>
        <v>17.335375547409061</v>
      </c>
      <c r="AV111" s="8">
        <f>SUM(AV103:AV110)</f>
        <v>3.4997591972351056</v>
      </c>
    </row>
    <row r="112" spans="12:48">
      <c r="L112"/>
      <c r="M112" s="51"/>
      <c r="N112" s="68" t="s">
        <v>44</v>
      </c>
      <c r="O112" s="68"/>
      <c r="P112" s="68"/>
      <c r="Q112" s="68"/>
      <c r="R112" s="68"/>
      <c r="S112" s="68"/>
      <c r="T112" s="4"/>
      <c r="U112" s="4"/>
      <c r="V112" s="4"/>
      <c r="W112" s="52"/>
      <c r="X112" s="47"/>
      <c r="Y112" s="51"/>
      <c r="Z112" s="68" t="s">
        <v>44</v>
      </c>
      <c r="AA112" s="68"/>
      <c r="AB112" s="68"/>
      <c r="AC112" s="68"/>
      <c r="AD112" s="68"/>
      <c r="AE112" s="68"/>
      <c r="AF112" s="4"/>
      <c r="AG112" s="4"/>
      <c r="AH112" s="4"/>
      <c r="AI112" s="52"/>
      <c r="AJ112" s="47"/>
      <c r="AK112" s="47"/>
      <c r="AL112" s="51"/>
      <c r="AM112" s="68" t="s">
        <v>44</v>
      </c>
      <c r="AN112" s="68"/>
      <c r="AO112" s="68"/>
      <c r="AP112" s="68"/>
      <c r="AQ112" s="68"/>
      <c r="AR112" s="68"/>
      <c r="AS112" s="4"/>
      <c r="AT112" s="4"/>
      <c r="AU112" s="4"/>
      <c r="AV112" s="52"/>
    </row>
    <row r="113" spans="12:48">
      <c r="L113"/>
      <c r="M113" s="47"/>
      <c r="N113" s="48" t="s">
        <v>0</v>
      </c>
      <c r="O113" s="48" t="s">
        <v>1</v>
      </c>
      <c r="P113" s="48" t="s">
        <v>2</v>
      </c>
      <c r="Q113" s="48" t="s">
        <v>3</v>
      </c>
      <c r="R113" s="48" t="s">
        <v>4</v>
      </c>
      <c r="S113" s="48" t="s">
        <v>5</v>
      </c>
      <c r="T113" s="4"/>
      <c r="U113" s="2" t="s">
        <v>17</v>
      </c>
      <c r="V113" s="2" t="s">
        <v>18</v>
      </c>
      <c r="W113" s="53" t="s">
        <v>18</v>
      </c>
      <c r="X113" s="47"/>
      <c r="Y113" s="47"/>
      <c r="Z113" s="48" t="s">
        <v>0</v>
      </c>
      <c r="AA113" s="48" t="s">
        <v>1</v>
      </c>
      <c r="AB113" s="48" t="s">
        <v>2</v>
      </c>
      <c r="AC113" s="48" t="s">
        <v>3</v>
      </c>
      <c r="AD113" s="48" t="s">
        <v>4</v>
      </c>
      <c r="AE113" s="48" t="s">
        <v>5</v>
      </c>
      <c r="AF113" s="4"/>
      <c r="AG113" s="2" t="s">
        <v>17</v>
      </c>
      <c r="AH113" s="2" t="s">
        <v>18</v>
      </c>
      <c r="AI113" s="53" t="s">
        <v>18</v>
      </c>
      <c r="AJ113" s="47"/>
      <c r="AK113" s="47"/>
      <c r="AL113" s="47"/>
      <c r="AM113" s="48" t="s">
        <v>0</v>
      </c>
      <c r="AN113" s="48" t="s">
        <v>1</v>
      </c>
      <c r="AO113" s="48" t="s">
        <v>2</v>
      </c>
      <c r="AP113" s="48" t="s">
        <v>3</v>
      </c>
      <c r="AQ113" s="48" t="s">
        <v>4</v>
      </c>
      <c r="AR113" s="48" t="s">
        <v>5</v>
      </c>
      <c r="AS113" s="4"/>
      <c r="AT113" s="2" t="s">
        <v>17</v>
      </c>
      <c r="AU113" s="2" t="s">
        <v>18</v>
      </c>
      <c r="AV113" s="53" t="s">
        <v>18</v>
      </c>
    </row>
    <row r="114" spans="12:48">
      <c r="L114"/>
      <c r="M114" s="48">
        <v>7</v>
      </c>
      <c r="N114" s="47" t="s">
        <v>7</v>
      </c>
      <c r="O114" s="47">
        <v>518</v>
      </c>
      <c r="P114" s="47">
        <v>518</v>
      </c>
      <c r="Q114" s="47">
        <v>-0.69378197193145752</v>
      </c>
      <c r="R114" s="47">
        <v>3.8333044052124019</v>
      </c>
      <c r="S114" s="47">
        <v>3.116965532302856</v>
      </c>
      <c r="T114" s="4"/>
      <c r="U114" s="2">
        <f t="shared" ref="U114:U121" si="50">Q114-E3</f>
        <v>-1.0195332169532776</v>
      </c>
      <c r="V114" s="2">
        <f t="shared" ref="V114:W121" si="51">F3-R114</f>
        <v>1.7522602081298833</v>
      </c>
      <c r="W114" s="2">
        <f t="shared" si="51"/>
        <v>0.81503558158874601</v>
      </c>
      <c r="X114" s="47"/>
      <c r="Y114" s="48">
        <v>7</v>
      </c>
      <c r="Z114" s="47" t="s">
        <v>7</v>
      </c>
      <c r="AA114" s="47">
        <v>507</v>
      </c>
      <c r="AB114" s="47">
        <v>507</v>
      </c>
      <c r="AC114" s="47">
        <v>-0.1023705005645752</v>
      </c>
      <c r="AD114" s="47">
        <v>2.9868307113647461</v>
      </c>
      <c r="AE114" s="47">
        <v>2.127119779586792</v>
      </c>
      <c r="AF114" s="4"/>
      <c r="AG114" s="2">
        <f t="shared" ref="AG114:AG121" si="52">AC114-E3</f>
        <v>-0.42812174558639532</v>
      </c>
      <c r="AH114" s="2">
        <f t="shared" ref="AH114:AI121" si="53">F3-AD114</f>
        <v>2.5987339019775391</v>
      </c>
      <c r="AI114" s="2">
        <f t="shared" si="53"/>
        <v>1.80488133430481</v>
      </c>
      <c r="AJ114" s="47"/>
      <c r="AK114" s="47"/>
      <c r="AL114" s="48">
        <v>6</v>
      </c>
      <c r="AM114" s="47" t="s">
        <v>7</v>
      </c>
      <c r="AN114" s="47">
        <v>496</v>
      </c>
      <c r="AO114" s="47">
        <v>496</v>
      </c>
      <c r="AP114" s="47">
        <v>0.24161714315414429</v>
      </c>
      <c r="AQ114" s="47">
        <v>5.0236415863037109</v>
      </c>
      <c r="AR114" s="47">
        <v>3.4983723163604741</v>
      </c>
      <c r="AS114" s="4"/>
      <c r="AT114" s="2">
        <f t="shared" ref="AT114:AT121" si="54">AP114-E3</f>
        <v>-8.4134101867675837E-2</v>
      </c>
      <c r="AU114" s="2">
        <f t="shared" ref="AU114:AV121" si="55">F3-AQ114</f>
        <v>0.56192302703857422</v>
      </c>
      <c r="AV114" s="2">
        <f t="shared" si="55"/>
        <v>0.43362879753112793</v>
      </c>
    </row>
    <row r="115" spans="12:48">
      <c r="L115"/>
      <c r="M115" s="48">
        <v>3</v>
      </c>
      <c r="N115" s="47" t="s">
        <v>8</v>
      </c>
      <c r="O115" s="47">
        <v>239</v>
      </c>
      <c r="P115" s="47">
        <v>239</v>
      </c>
      <c r="Q115" s="47">
        <v>-0.79146361351013184</v>
      </c>
      <c r="R115" s="47">
        <v>4.0933523178100586</v>
      </c>
      <c r="S115" s="47">
        <v>2.7683947086334229</v>
      </c>
      <c r="T115" s="4"/>
      <c r="U115" s="2">
        <f t="shared" si="50"/>
        <v>-0.84968537092208862</v>
      </c>
      <c r="V115" s="2">
        <f t="shared" si="51"/>
        <v>0.7516322135925293</v>
      </c>
      <c r="W115" s="2">
        <f t="shared" si="51"/>
        <v>1.0743141174316402</v>
      </c>
      <c r="X115" s="47"/>
      <c r="Y115" s="48">
        <v>2</v>
      </c>
      <c r="Z115" s="47" t="s">
        <v>8</v>
      </c>
      <c r="AA115" s="47">
        <v>203</v>
      </c>
      <c r="AB115" s="47">
        <v>203</v>
      </c>
      <c r="AC115" s="47">
        <v>4.5757174491882317E-2</v>
      </c>
      <c r="AD115" s="47">
        <v>2.7802364826202388</v>
      </c>
      <c r="AE115" s="47">
        <v>2.0949866771697998</v>
      </c>
      <c r="AF115" s="4"/>
      <c r="AG115" s="2">
        <f t="shared" si="52"/>
        <v>-1.246458292007447E-2</v>
      </c>
      <c r="AH115" s="2">
        <f t="shared" si="53"/>
        <v>2.0647480487823491</v>
      </c>
      <c r="AI115" s="2">
        <f t="shared" si="53"/>
        <v>1.7477221488952632</v>
      </c>
      <c r="AJ115" s="47"/>
      <c r="AK115" s="47"/>
      <c r="AL115" s="48">
        <v>1</v>
      </c>
      <c r="AM115" s="47" t="s">
        <v>8</v>
      </c>
      <c r="AN115" s="47">
        <v>203</v>
      </c>
      <c r="AO115" s="47">
        <v>203</v>
      </c>
      <c r="AP115" s="47">
        <v>-1.4353764057159419</v>
      </c>
      <c r="AQ115" s="47">
        <v>7.4477109909057617</v>
      </c>
      <c r="AR115" s="47">
        <v>5.5060567855834961</v>
      </c>
      <c r="AS115" s="4"/>
      <c r="AT115" s="2">
        <f t="shared" si="54"/>
        <v>-1.4935981631278987</v>
      </c>
      <c r="AU115" s="2">
        <f t="shared" si="55"/>
        <v>-2.6027264595031738</v>
      </c>
      <c r="AV115" s="2">
        <f t="shared" si="55"/>
        <v>-1.6633479595184331</v>
      </c>
    </row>
    <row r="116" spans="12:48">
      <c r="L116"/>
      <c r="M116" s="48">
        <v>0</v>
      </c>
      <c r="N116" s="47" t="s">
        <v>9</v>
      </c>
      <c r="O116" s="47">
        <v>14</v>
      </c>
      <c r="P116" s="47">
        <v>14</v>
      </c>
      <c r="Q116" s="47">
        <v>-0.17496716976165769</v>
      </c>
      <c r="R116" s="47">
        <v>1.298559784889221</v>
      </c>
      <c r="S116" s="47">
        <v>1.052482485771179</v>
      </c>
      <c r="T116" s="4"/>
      <c r="U116" s="2">
        <f t="shared" si="50"/>
        <v>-0.30164015293121338</v>
      </c>
      <c r="V116" s="2">
        <f t="shared" si="51"/>
        <v>-0.13660585880279497</v>
      </c>
      <c r="W116" s="2">
        <f t="shared" si="51"/>
        <v>-8.6924433708190696E-2</v>
      </c>
      <c r="X116" s="47"/>
      <c r="Y116" s="48">
        <v>0</v>
      </c>
      <c r="Z116" s="47" t="s">
        <v>9</v>
      </c>
      <c r="AA116" s="47">
        <v>14</v>
      </c>
      <c r="AB116" s="47">
        <v>14</v>
      </c>
      <c r="AC116" s="47">
        <v>-0.30843400955200201</v>
      </c>
      <c r="AD116" s="47">
        <v>1.3703294992446899</v>
      </c>
      <c r="AE116" s="47">
        <v>1.1348675489425659</v>
      </c>
      <c r="AF116" s="4"/>
      <c r="AG116" s="2">
        <f t="shared" si="52"/>
        <v>-0.43510699272155773</v>
      </c>
      <c r="AH116" s="2">
        <f t="shared" si="53"/>
        <v>-0.20837557315826394</v>
      </c>
      <c r="AI116" s="2">
        <f t="shared" si="53"/>
        <v>-0.16930949687957764</v>
      </c>
      <c r="AJ116" s="47"/>
      <c r="AK116" s="47"/>
      <c r="AL116" s="48">
        <v>3</v>
      </c>
      <c r="AM116" s="47" t="s">
        <v>9</v>
      </c>
      <c r="AN116" s="47">
        <v>305</v>
      </c>
      <c r="AO116" s="47">
        <v>305</v>
      </c>
      <c r="AP116" s="47">
        <v>0.22141927480697629</v>
      </c>
      <c r="AQ116" s="47">
        <v>4.5159206390380859</v>
      </c>
      <c r="AR116" s="47">
        <v>3.4344015121459961</v>
      </c>
      <c r="AS116" s="4"/>
      <c r="AT116" s="2">
        <f t="shared" si="54"/>
        <v>9.4746291637420599E-2</v>
      </c>
      <c r="AU116" s="2">
        <f t="shared" si="55"/>
        <v>-3.3539667129516602</v>
      </c>
      <c r="AV116" s="2">
        <f t="shared" si="55"/>
        <v>-2.4688434600830078</v>
      </c>
    </row>
    <row r="117" spans="12:48">
      <c r="L117"/>
      <c r="M117" s="48">
        <v>6</v>
      </c>
      <c r="N117" s="47" t="s">
        <v>10</v>
      </c>
      <c r="O117" s="47">
        <v>509</v>
      </c>
      <c r="P117" s="47">
        <v>509</v>
      </c>
      <c r="Q117" s="47">
        <v>-7.8430294990539551E-2</v>
      </c>
      <c r="R117" s="47">
        <v>5.6180267333984384</v>
      </c>
      <c r="S117" s="47">
        <v>4.5106453895568848</v>
      </c>
      <c r="T117" s="4"/>
      <c r="U117" s="2">
        <f t="shared" si="50"/>
        <v>-0.1550326943397522</v>
      </c>
      <c r="V117" s="2">
        <f t="shared" si="51"/>
        <v>-1.8392269611358656</v>
      </c>
      <c r="W117" s="2">
        <f t="shared" si="51"/>
        <v>-1.5612328052520748</v>
      </c>
      <c r="X117" s="47"/>
      <c r="Y117" s="48">
        <v>6</v>
      </c>
      <c r="Z117" s="47" t="s">
        <v>10</v>
      </c>
      <c r="AA117" s="47">
        <v>467</v>
      </c>
      <c r="AB117" s="47">
        <v>467</v>
      </c>
      <c r="AC117" s="47">
        <v>6.9601476192474365E-2</v>
      </c>
      <c r="AD117" s="47">
        <v>5.1305041313171387</v>
      </c>
      <c r="AE117" s="47">
        <v>4.0444803237915039</v>
      </c>
      <c r="AF117" s="4"/>
      <c r="AG117" s="2">
        <f t="shared" si="52"/>
        <v>-7.0009231567382813E-3</v>
      </c>
      <c r="AH117" s="2">
        <f t="shared" si="53"/>
        <v>-1.3517043590545659</v>
      </c>
      <c r="AI117" s="2">
        <f t="shared" si="53"/>
        <v>-1.0950677394866939</v>
      </c>
      <c r="AJ117" s="47"/>
      <c r="AK117" s="47"/>
      <c r="AL117" s="48">
        <v>7</v>
      </c>
      <c r="AM117" s="47" t="s">
        <v>10</v>
      </c>
      <c r="AN117" s="47">
        <v>514</v>
      </c>
      <c r="AO117" s="47">
        <v>514</v>
      </c>
      <c r="AP117" s="47">
        <v>-0.35176146030426031</v>
      </c>
      <c r="AQ117" s="47">
        <v>8.5302352905273438</v>
      </c>
      <c r="AR117" s="47">
        <v>6.3672561645507813</v>
      </c>
      <c r="AS117" s="4"/>
      <c r="AT117" s="2">
        <f t="shared" si="54"/>
        <v>-0.42836385965347296</v>
      </c>
      <c r="AU117" s="2">
        <f t="shared" si="55"/>
        <v>-4.7514355182647705</v>
      </c>
      <c r="AV117" s="2">
        <f t="shared" si="55"/>
        <v>-3.4178435802459712</v>
      </c>
    </row>
    <row r="118" spans="12:48">
      <c r="L118"/>
      <c r="M118" s="48">
        <v>1</v>
      </c>
      <c r="N118" s="47" t="s">
        <v>11</v>
      </c>
      <c r="O118" s="47">
        <v>70</v>
      </c>
      <c r="P118" s="47">
        <v>70</v>
      </c>
      <c r="Q118" s="47">
        <v>-4.5106792449951172</v>
      </c>
      <c r="R118" s="47">
        <v>5.9139509201049796</v>
      </c>
      <c r="S118" s="47">
        <v>4.2769589424133301</v>
      </c>
      <c r="T118" s="4"/>
      <c r="U118" s="2">
        <f t="shared" si="50"/>
        <v>-4.5361281633377075</v>
      </c>
      <c r="V118" s="2">
        <f t="shared" si="51"/>
        <v>21.479229927062988</v>
      </c>
      <c r="W118" s="2">
        <f t="shared" si="51"/>
        <v>8.3931317329406703</v>
      </c>
      <c r="X118" s="47"/>
      <c r="Y118" s="48">
        <v>1</v>
      </c>
      <c r="Z118" s="47" t="s">
        <v>11</v>
      </c>
      <c r="AA118" s="47">
        <v>62</v>
      </c>
      <c r="AB118" s="47">
        <v>62</v>
      </c>
      <c r="AC118" s="47">
        <v>-1.108972549438477</v>
      </c>
      <c r="AD118" s="47">
        <v>3.5423305034637451</v>
      </c>
      <c r="AE118" s="47">
        <v>2.6059846878051758</v>
      </c>
      <c r="AF118" s="4"/>
      <c r="AG118" s="2">
        <f t="shared" si="52"/>
        <v>-1.1344214677810673</v>
      </c>
      <c r="AH118" s="2">
        <f t="shared" si="53"/>
        <v>23.850850343704224</v>
      </c>
      <c r="AI118" s="2">
        <f t="shared" si="53"/>
        <v>10.064105987548825</v>
      </c>
      <c r="AJ118" s="47"/>
      <c r="AK118" s="47"/>
      <c r="AL118" s="48">
        <v>0</v>
      </c>
      <c r="AM118" s="47" t="s">
        <v>11</v>
      </c>
      <c r="AN118" s="47">
        <v>74</v>
      </c>
      <c r="AO118" s="47">
        <v>74</v>
      </c>
      <c r="AP118" s="47">
        <v>-1.8557548522949219E-2</v>
      </c>
      <c r="AQ118" s="47">
        <v>10.83118915557861</v>
      </c>
      <c r="AR118" s="47">
        <v>6.4112348556518546</v>
      </c>
      <c r="AS118" s="4"/>
      <c r="AT118" s="2">
        <f t="shared" si="54"/>
        <v>-4.4006466865539551E-2</v>
      </c>
      <c r="AU118" s="2">
        <f t="shared" si="55"/>
        <v>16.561991691589359</v>
      </c>
      <c r="AV118" s="2">
        <f t="shared" si="55"/>
        <v>6.2588558197021458</v>
      </c>
    </row>
    <row r="119" spans="12:48">
      <c r="L119"/>
      <c r="M119" s="48">
        <v>2</v>
      </c>
      <c r="N119" s="47" t="s">
        <v>12</v>
      </c>
      <c r="O119" s="47">
        <v>223</v>
      </c>
      <c r="P119" s="47">
        <v>223</v>
      </c>
      <c r="Q119" s="47">
        <v>-0.89842164516448975</v>
      </c>
      <c r="R119" s="47">
        <v>3.601110458374023</v>
      </c>
      <c r="S119" s="47">
        <v>2.8082199096679692</v>
      </c>
      <c r="T119" s="4"/>
      <c r="U119" s="2">
        <f t="shared" si="50"/>
        <v>0.59022939205169722</v>
      </c>
      <c r="V119" s="2">
        <f t="shared" si="51"/>
        <v>1.414883136749268</v>
      </c>
      <c r="W119" s="2">
        <f t="shared" si="51"/>
        <v>1.1943259239196764</v>
      </c>
      <c r="X119" s="47"/>
      <c r="Y119" s="48">
        <v>3</v>
      </c>
      <c r="Z119" s="47" t="s">
        <v>12</v>
      </c>
      <c r="AA119" s="47">
        <v>221</v>
      </c>
      <c r="AB119" s="47">
        <v>221</v>
      </c>
      <c r="AC119" s="47">
        <v>-0.57491028308868408</v>
      </c>
      <c r="AD119" s="47">
        <v>3.2766015529632568</v>
      </c>
      <c r="AE119" s="47">
        <v>2.5660219192504878</v>
      </c>
      <c r="AF119" s="4"/>
      <c r="AG119" s="2">
        <f t="shared" si="52"/>
        <v>0.91374075412750289</v>
      </c>
      <c r="AH119" s="2">
        <f t="shared" si="53"/>
        <v>1.7393920421600342</v>
      </c>
      <c r="AI119" s="2">
        <f t="shared" si="53"/>
        <v>1.4365239143371578</v>
      </c>
      <c r="AJ119" s="47"/>
      <c r="AK119" s="47"/>
      <c r="AL119" s="48">
        <v>2</v>
      </c>
      <c r="AM119" s="47" t="s">
        <v>12</v>
      </c>
      <c r="AN119" s="47">
        <v>206</v>
      </c>
      <c r="AO119" s="47">
        <v>206</v>
      </c>
      <c r="AP119" s="47">
        <v>-0.23461008071899411</v>
      </c>
      <c r="AQ119" s="47">
        <v>3.8083746433258061</v>
      </c>
      <c r="AR119" s="47">
        <v>2.9087038040161128</v>
      </c>
      <c r="AS119" s="4"/>
      <c r="AT119" s="2">
        <f t="shared" si="54"/>
        <v>1.2540409564971928</v>
      </c>
      <c r="AU119" s="2">
        <f t="shared" si="55"/>
        <v>1.2076189517974849</v>
      </c>
      <c r="AV119" s="2">
        <f t="shared" si="55"/>
        <v>1.0938420295715328</v>
      </c>
    </row>
    <row r="120" spans="12:48">
      <c r="L120"/>
      <c r="M120" s="48">
        <v>4</v>
      </c>
      <c r="N120" s="47" t="s">
        <v>13</v>
      </c>
      <c r="O120" s="47">
        <v>371</v>
      </c>
      <c r="P120" s="47">
        <v>371</v>
      </c>
      <c r="Q120" s="47">
        <v>-0.58008062839508057</v>
      </c>
      <c r="R120" s="47">
        <v>3.6796867847442631</v>
      </c>
      <c r="S120" s="47">
        <v>2.851903915405273</v>
      </c>
      <c r="T120" s="4"/>
      <c r="U120" s="2">
        <f t="shared" si="50"/>
        <v>-0.64323121309280396</v>
      </c>
      <c r="V120" s="2">
        <f t="shared" si="51"/>
        <v>0.74295067787170366</v>
      </c>
      <c r="W120" s="2">
        <f t="shared" si="51"/>
        <v>0.66942548751831099</v>
      </c>
      <c r="X120" s="47"/>
      <c r="Y120" s="48">
        <v>5</v>
      </c>
      <c r="Z120" s="47" t="s">
        <v>13</v>
      </c>
      <c r="AA120" s="47">
        <v>366</v>
      </c>
      <c r="AB120" s="47">
        <v>366</v>
      </c>
      <c r="AC120" s="47">
        <v>-0.39367508888244629</v>
      </c>
      <c r="AD120" s="47">
        <v>3.6087911128997798</v>
      </c>
      <c r="AE120" s="47">
        <v>2.840983629226685</v>
      </c>
      <c r="AF120" s="4"/>
      <c r="AG120" s="2">
        <f t="shared" si="52"/>
        <v>-0.45682567358016968</v>
      </c>
      <c r="AH120" s="2">
        <f t="shared" si="53"/>
        <v>0.81384634971618697</v>
      </c>
      <c r="AI120" s="2">
        <f t="shared" si="53"/>
        <v>0.68034577369689897</v>
      </c>
      <c r="AJ120" s="47"/>
      <c r="AK120" s="47"/>
      <c r="AL120" s="48">
        <v>4</v>
      </c>
      <c r="AM120" s="47" t="s">
        <v>13</v>
      </c>
      <c r="AN120" s="47">
        <v>332</v>
      </c>
      <c r="AO120" s="47">
        <v>332</v>
      </c>
      <c r="AP120" s="47">
        <v>-0.41628909111022949</v>
      </c>
      <c r="AQ120" s="47">
        <v>4.9430904388427734</v>
      </c>
      <c r="AR120" s="47">
        <v>3.6637389659881592</v>
      </c>
      <c r="AS120" s="4"/>
      <c r="AT120" s="2">
        <f t="shared" si="54"/>
        <v>-0.47943967580795288</v>
      </c>
      <c r="AU120" s="2">
        <f t="shared" si="55"/>
        <v>-0.52045297622680664</v>
      </c>
      <c r="AV120" s="2">
        <f t="shared" si="55"/>
        <v>-0.1424095630645752</v>
      </c>
    </row>
    <row r="121" spans="12:48" ht="15.75" thickBot="1">
      <c r="L121"/>
      <c r="M121" s="48">
        <v>5</v>
      </c>
      <c r="N121" s="47" t="s">
        <v>14</v>
      </c>
      <c r="O121" s="47">
        <v>388</v>
      </c>
      <c r="P121" s="47">
        <v>388</v>
      </c>
      <c r="Q121" s="47">
        <v>-0.1958470344543457</v>
      </c>
      <c r="R121" s="47">
        <v>4.0320868492126456</v>
      </c>
      <c r="S121" s="47">
        <v>3.2277145385742192</v>
      </c>
      <c r="T121" s="4"/>
      <c r="U121" s="2">
        <f t="shared" si="50"/>
        <v>-0.16243726015090942</v>
      </c>
      <c r="V121" s="2">
        <f t="shared" si="51"/>
        <v>15.734797000885013</v>
      </c>
      <c r="W121" s="2">
        <f t="shared" si="51"/>
        <v>5.4172730445861816</v>
      </c>
      <c r="X121" s="47"/>
      <c r="Y121" s="48">
        <v>4</v>
      </c>
      <c r="Z121" s="47" t="s">
        <v>14</v>
      </c>
      <c r="AA121" s="47">
        <v>341</v>
      </c>
      <c r="AB121" s="47">
        <v>341</v>
      </c>
      <c r="AC121" s="47">
        <v>-0.58093631267547607</v>
      </c>
      <c r="AD121" s="47">
        <v>4.8516840934753418</v>
      </c>
      <c r="AE121" s="47">
        <v>3.789338111877441</v>
      </c>
      <c r="AF121" s="4"/>
      <c r="AG121" s="2">
        <f t="shared" si="52"/>
        <v>-0.54752653837203979</v>
      </c>
      <c r="AH121" s="2">
        <f t="shared" si="53"/>
        <v>14.915199756622318</v>
      </c>
      <c r="AI121" s="2">
        <f t="shared" si="53"/>
        <v>4.855649471282959</v>
      </c>
      <c r="AJ121" s="47"/>
      <c r="AK121" s="47"/>
      <c r="AL121" s="48">
        <v>5</v>
      </c>
      <c r="AM121" s="47" t="s">
        <v>14</v>
      </c>
      <c r="AN121" s="47">
        <v>436</v>
      </c>
      <c r="AO121" s="47">
        <v>436</v>
      </c>
      <c r="AP121" s="47">
        <v>-0.27179610729217529</v>
      </c>
      <c r="AQ121" s="47">
        <v>7.8458514213562012</v>
      </c>
      <c r="AR121" s="47">
        <v>6.2451357841491699</v>
      </c>
      <c r="AS121" s="4"/>
      <c r="AT121" s="2">
        <f t="shared" si="54"/>
        <v>-0.23838633298873901</v>
      </c>
      <c r="AU121" s="2">
        <f t="shared" si="55"/>
        <v>11.921032428741459</v>
      </c>
      <c r="AV121" s="2">
        <f t="shared" si="55"/>
        <v>2.3998517990112305</v>
      </c>
    </row>
    <row r="122" spans="12:48" ht="15.75" thickBot="1">
      <c r="L122"/>
      <c r="M122" s="51"/>
      <c r="N122" s="4"/>
      <c r="O122" s="4"/>
      <c r="P122" s="4"/>
      <c r="Q122" s="4"/>
      <c r="R122" s="4"/>
      <c r="S122" s="4"/>
      <c r="T122" s="6" t="s">
        <v>19</v>
      </c>
      <c r="U122" s="7">
        <f>SUM(U114:U121)</f>
        <v>-7.0774586796760559</v>
      </c>
      <c r="V122" s="7">
        <f>SUM(V114:V121)</f>
        <v>39.899920344352722</v>
      </c>
      <c r="W122" s="8">
        <f>SUM(W114:W121)</f>
        <v>15.91534864902496</v>
      </c>
      <c r="X122" s="47"/>
      <c r="Y122" s="51"/>
      <c r="Z122" s="4"/>
      <c r="AA122" s="4"/>
      <c r="AB122" s="4"/>
      <c r="AC122" s="4"/>
      <c r="AD122" s="4"/>
      <c r="AE122" s="4"/>
      <c r="AF122" s="6" t="s">
        <v>19</v>
      </c>
      <c r="AG122" s="7">
        <f>SUM(AG114:AG121)</f>
        <v>-2.10772716999054</v>
      </c>
      <c r="AH122" s="7">
        <f>SUM(AH114:AH121)</f>
        <v>44.422690510749817</v>
      </c>
      <c r="AI122" s="8">
        <f>SUM(AI114:AI121)</f>
        <v>19.324851393699642</v>
      </c>
      <c r="AJ122" s="47"/>
      <c r="AK122" s="47"/>
      <c r="AL122" s="51"/>
      <c r="AM122" s="4"/>
      <c r="AN122" s="4"/>
      <c r="AO122" s="4"/>
      <c r="AP122" s="4"/>
      <c r="AQ122" s="4"/>
      <c r="AR122" s="4"/>
      <c r="AS122" s="6" t="s">
        <v>19</v>
      </c>
      <c r="AT122" s="7">
        <f>SUM(AT114:AT121)</f>
        <v>-1.4191413521766654</v>
      </c>
      <c r="AU122" s="7">
        <f>SUM(AU114:AU121)</f>
        <v>19.023984432220466</v>
      </c>
      <c r="AV122" s="8">
        <f>SUM(AV114:AV121)</f>
        <v>2.4937338829040496</v>
      </c>
    </row>
    <row r="123" spans="12:48">
      <c r="L123"/>
      <c r="M123" s="51"/>
      <c r="N123" s="68" t="s">
        <v>42</v>
      </c>
      <c r="O123" s="68"/>
      <c r="P123" s="68"/>
      <c r="Q123" s="68"/>
      <c r="R123" s="68"/>
      <c r="S123" s="68"/>
      <c r="T123" s="4"/>
      <c r="U123" s="4"/>
      <c r="V123" s="4"/>
      <c r="W123" s="52"/>
      <c r="X123" s="47"/>
      <c r="Y123" s="51"/>
      <c r="Z123" s="68" t="s">
        <v>42</v>
      </c>
      <c r="AA123" s="68"/>
      <c r="AB123" s="68"/>
      <c r="AC123" s="68"/>
      <c r="AD123" s="68"/>
      <c r="AE123" s="68"/>
      <c r="AF123" s="4"/>
      <c r="AG123" s="4"/>
      <c r="AH123" s="4"/>
      <c r="AI123" s="52"/>
      <c r="AJ123" s="47"/>
      <c r="AK123" s="47"/>
      <c r="AL123" s="51"/>
      <c r="AM123" s="68" t="s">
        <v>42</v>
      </c>
      <c r="AN123" s="68"/>
      <c r="AO123" s="68"/>
      <c r="AP123" s="68"/>
      <c r="AQ123" s="68"/>
      <c r="AR123" s="68"/>
      <c r="AS123" s="4"/>
      <c r="AT123" s="4"/>
      <c r="AU123" s="4"/>
      <c r="AV123" s="52"/>
    </row>
    <row r="124" spans="12:48">
      <c r="L124"/>
      <c r="M124" s="47"/>
      <c r="N124" s="48" t="s">
        <v>0</v>
      </c>
      <c r="O124" s="48" t="s">
        <v>1</v>
      </c>
      <c r="P124" s="48" t="s">
        <v>2</v>
      </c>
      <c r="Q124" s="48" t="s">
        <v>3</v>
      </c>
      <c r="R124" s="48" t="s">
        <v>4</v>
      </c>
      <c r="S124" s="48" t="s">
        <v>5</v>
      </c>
      <c r="T124" s="4"/>
      <c r="U124" s="2" t="s">
        <v>17</v>
      </c>
      <c r="V124" s="2" t="s">
        <v>18</v>
      </c>
      <c r="W124" s="53" t="s">
        <v>18</v>
      </c>
      <c r="X124" s="47"/>
      <c r="Y124" s="47"/>
      <c r="Z124" s="48" t="s">
        <v>0</v>
      </c>
      <c r="AA124" s="48" t="s">
        <v>1</v>
      </c>
      <c r="AB124" s="48" t="s">
        <v>2</v>
      </c>
      <c r="AC124" s="48" t="s">
        <v>3</v>
      </c>
      <c r="AD124" s="48" t="s">
        <v>4</v>
      </c>
      <c r="AE124" s="48" t="s">
        <v>5</v>
      </c>
      <c r="AF124" s="4"/>
      <c r="AG124" s="2" t="s">
        <v>17</v>
      </c>
      <c r="AH124" s="2" t="s">
        <v>18</v>
      </c>
      <c r="AI124" s="53" t="s">
        <v>18</v>
      </c>
      <c r="AJ124" s="47"/>
      <c r="AK124" s="47"/>
      <c r="AL124" s="47"/>
      <c r="AM124" s="48" t="s">
        <v>0</v>
      </c>
      <c r="AN124" s="48" t="s">
        <v>1</v>
      </c>
      <c r="AO124" s="48" t="s">
        <v>2</v>
      </c>
      <c r="AP124" s="48" t="s">
        <v>3</v>
      </c>
      <c r="AQ124" s="48" t="s">
        <v>4</v>
      </c>
      <c r="AR124" s="48" t="s">
        <v>5</v>
      </c>
      <c r="AS124" s="4"/>
      <c r="AT124" s="2" t="s">
        <v>17</v>
      </c>
      <c r="AU124" s="2" t="s">
        <v>18</v>
      </c>
      <c r="AV124" s="53" t="s">
        <v>18</v>
      </c>
    </row>
    <row r="125" spans="12:48">
      <c r="L125"/>
      <c r="M125" s="48">
        <v>0</v>
      </c>
      <c r="N125" s="47" t="s">
        <v>11</v>
      </c>
      <c r="O125" s="47">
        <v>70</v>
      </c>
      <c r="P125" s="47">
        <v>132</v>
      </c>
      <c r="Q125" s="47">
        <v>-2.8701026439666748</v>
      </c>
      <c r="R125" s="47">
        <v>4.745844841003418</v>
      </c>
      <c r="S125" s="47">
        <v>3.1095952987670898</v>
      </c>
      <c r="T125" s="4"/>
      <c r="U125" s="2">
        <f t="shared" ref="U125:U132" si="56">Q125-E3</f>
        <v>-3.1958538889884949</v>
      </c>
      <c r="V125" s="2">
        <f t="shared" ref="V125:W132" si="57">F3-R125</f>
        <v>0.83971977233886719</v>
      </c>
      <c r="W125" s="2">
        <f t="shared" si="57"/>
        <v>0.82240581512451216</v>
      </c>
      <c r="Y125" s="48">
        <v>7</v>
      </c>
      <c r="Z125" s="47" t="s">
        <v>7</v>
      </c>
      <c r="AA125" s="47">
        <v>507</v>
      </c>
      <c r="AB125" s="47">
        <v>1013</v>
      </c>
      <c r="AC125" s="47">
        <v>-6.9999814033508301E-2</v>
      </c>
      <c r="AD125" s="47">
        <v>3.0272164344787602</v>
      </c>
      <c r="AE125" s="47">
        <v>2.033124685287476</v>
      </c>
      <c r="AF125" s="4"/>
      <c r="AG125" s="2">
        <f t="shared" ref="AG125:AG132" si="58">AC125-E3</f>
        <v>-0.39575105905532842</v>
      </c>
      <c r="AH125" s="2">
        <f t="shared" ref="AH125:AI132" si="59">F3-AD125</f>
        <v>2.5583481788635249</v>
      </c>
      <c r="AI125" s="2">
        <f t="shared" si="59"/>
        <v>1.898876428604126</v>
      </c>
      <c r="AL125" s="48">
        <v>6</v>
      </c>
      <c r="AM125" s="47" t="s">
        <v>7</v>
      </c>
      <c r="AN125" s="47">
        <v>496</v>
      </c>
      <c r="AO125" s="47">
        <v>995</v>
      </c>
      <c r="AP125" s="47">
        <v>0.19405889511108401</v>
      </c>
      <c r="AQ125" s="47">
        <v>5.5446276664733887</v>
      </c>
      <c r="AR125" s="47">
        <v>3.7107102870941162</v>
      </c>
      <c r="AS125" s="4"/>
      <c r="AT125" s="2">
        <f t="shared" ref="AT125:AT132" si="60">AP125-E3</f>
        <v>-0.13169234991073611</v>
      </c>
      <c r="AU125" s="2">
        <f t="shared" ref="AU125:AV132" si="61">F3-AQ125</f>
        <v>4.0936946868896484E-2</v>
      </c>
      <c r="AV125" s="2">
        <f t="shared" si="61"/>
        <v>0.2212908267974858</v>
      </c>
    </row>
    <row r="126" spans="12:48">
      <c r="L126"/>
      <c r="M126" s="48">
        <v>1</v>
      </c>
      <c r="N126" s="47" t="s">
        <v>9</v>
      </c>
      <c r="O126" s="47">
        <v>14</v>
      </c>
      <c r="P126" s="47">
        <v>244</v>
      </c>
      <c r="Q126" s="47">
        <v>-0.35269010066986078</v>
      </c>
      <c r="R126" s="47">
        <v>4.0259561538696289</v>
      </c>
      <c r="S126" s="47">
        <v>2.7254858016967769</v>
      </c>
      <c r="T126" s="4"/>
      <c r="U126" s="2">
        <f t="shared" si="56"/>
        <v>-0.41091185808181757</v>
      </c>
      <c r="V126" s="2">
        <f t="shared" si="57"/>
        <v>0.81902837753295898</v>
      </c>
      <c r="W126" s="2">
        <f t="shared" si="57"/>
        <v>1.1172230243682861</v>
      </c>
      <c r="Y126" s="48">
        <v>2</v>
      </c>
      <c r="Z126" s="47" t="s">
        <v>8</v>
      </c>
      <c r="AA126" s="47">
        <v>203</v>
      </c>
      <c r="AB126" s="47">
        <v>401</v>
      </c>
      <c r="AC126" s="47">
        <v>-0.31619954109191889</v>
      </c>
      <c r="AD126" s="47">
        <v>3.6499733924865718</v>
      </c>
      <c r="AE126" s="47">
        <v>2.652828693389893</v>
      </c>
      <c r="AF126" s="4"/>
      <c r="AG126" s="2">
        <f t="shared" si="58"/>
        <v>-0.37442129850387568</v>
      </c>
      <c r="AH126" s="2">
        <f t="shared" si="59"/>
        <v>1.1950111389160161</v>
      </c>
      <c r="AI126" s="2">
        <f t="shared" si="59"/>
        <v>1.18988013267517</v>
      </c>
      <c r="AL126" s="48">
        <v>2</v>
      </c>
      <c r="AM126" s="47" t="s">
        <v>8</v>
      </c>
      <c r="AN126" s="47">
        <v>203</v>
      </c>
      <c r="AO126" s="47">
        <v>411</v>
      </c>
      <c r="AP126" s="47">
        <v>-0.58688175678253174</v>
      </c>
      <c r="AQ126" s="47">
        <v>6.5694417953491211</v>
      </c>
      <c r="AR126" s="47">
        <v>4.8916769027709961</v>
      </c>
      <c r="AS126" s="4"/>
      <c r="AT126" s="2">
        <f t="shared" si="60"/>
        <v>-0.64510351419448853</v>
      </c>
      <c r="AU126" s="2">
        <f t="shared" si="61"/>
        <v>-1.7244572639465332</v>
      </c>
      <c r="AV126" s="2">
        <f t="shared" si="61"/>
        <v>-1.0489680767059331</v>
      </c>
    </row>
    <row r="127" spans="12:48">
      <c r="L127"/>
      <c r="M127" s="48">
        <v>2</v>
      </c>
      <c r="N127" s="47" t="s">
        <v>12</v>
      </c>
      <c r="O127" s="47">
        <v>223</v>
      </c>
      <c r="P127" s="47">
        <v>444</v>
      </c>
      <c r="Q127" s="47">
        <v>-0.50582027435302734</v>
      </c>
      <c r="R127" s="47">
        <v>3.1449127197265621</v>
      </c>
      <c r="S127" s="47">
        <v>2.355829238891602</v>
      </c>
      <c r="T127" s="4"/>
      <c r="U127" s="2">
        <f t="shared" si="56"/>
        <v>-0.63249325752258301</v>
      </c>
      <c r="V127" s="2">
        <f t="shared" si="57"/>
        <v>-1.9829587936401361</v>
      </c>
      <c r="W127" s="2">
        <f t="shared" si="57"/>
        <v>-1.3902711868286137</v>
      </c>
      <c r="Y127" s="48">
        <v>1</v>
      </c>
      <c r="Z127" s="47" t="s">
        <v>9</v>
      </c>
      <c r="AA127" s="47">
        <v>14</v>
      </c>
      <c r="AB127" s="47">
        <v>249</v>
      </c>
      <c r="AC127" s="47">
        <v>-0.36604845523834229</v>
      </c>
      <c r="AD127" s="47">
        <v>4.6152896881103516</v>
      </c>
      <c r="AE127" s="47">
        <v>2.9056975841522221</v>
      </c>
      <c r="AF127" s="4"/>
      <c r="AG127" s="2">
        <f t="shared" si="58"/>
        <v>-0.49272143840789795</v>
      </c>
      <c r="AH127" s="2">
        <f t="shared" si="59"/>
        <v>-3.4533357620239258</v>
      </c>
      <c r="AI127" s="2">
        <f t="shared" si="59"/>
        <v>-1.9401395320892338</v>
      </c>
      <c r="AL127" s="48">
        <v>3</v>
      </c>
      <c r="AM127" s="47" t="s">
        <v>9</v>
      </c>
      <c r="AN127" s="47">
        <v>305</v>
      </c>
      <c r="AO127" s="47">
        <v>539</v>
      </c>
      <c r="AP127" s="47">
        <v>0.33564043045043951</v>
      </c>
      <c r="AQ127" s="47">
        <v>6.5827369689941406</v>
      </c>
      <c r="AR127" s="47">
        <v>4.3607692718505859</v>
      </c>
      <c r="AS127" s="4"/>
      <c r="AT127" s="2">
        <f t="shared" si="60"/>
        <v>0.20896744728088382</v>
      </c>
      <c r="AU127" s="2">
        <f t="shared" si="61"/>
        <v>-5.4207830429077148</v>
      </c>
      <c r="AV127" s="2">
        <f t="shared" si="61"/>
        <v>-3.3952112197875977</v>
      </c>
    </row>
    <row r="128" spans="12:48">
      <c r="L128"/>
      <c r="M128" s="48">
        <v>3</v>
      </c>
      <c r="N128" s="47" t="s">
        <v>8</v>
      </c>
      <c r="O128" s="47">
        <v>239</v>
      </c>
      <c r="P128" s="47">
        <v>446</v>
      </c>
      <c r="Q128" s="47">
        <v>-0.6248701810836792</v>
      </c>
      <c r="R128" s="47">
        <v>4.1239528656005859</v>
      </c>
      <c r="S128" s="47">
        <v>2.8756403923034668</v>
      </c>
      <c r="T128" s="4"/>
      <c r="U128" s="2">
        <f t="shared" si="56"/>
        <v>-0.70147258043289185</v>
      </c>
      <c r="V128" s="2">
        <f t="shared" si="57"/>
        <v>-0.34515309333801314</v>
      </c>
      <c r="W128" s="2">
        <f t="shared" si="57"/>
        <v>7.3772192001343218E-2</v>
      </c>
      <c r="Y128" s="48">
        <v>6</v>
      </c>
      <c r="Z128" s="47" t="s">
        <v>10</v>
      </c>
      <c r="AA128" s="47">
        <v>467</v>
      </c>
      <c r="AB128" s="47">
        <v>877</v>
      </c>
      <c r="AC128" s="47">
        <v>6.8454861640930176E-2</v>
      </c>
      <c r="AD128" s="47">
        <v>4.7044839859008789</v>
      </c>
      <c r="AE128" s="47">
        <v>3.4309651851654048</v>
      </c>
      <c r="AF128" s="4"/>
      <c r="AG128" s="2">
        <f t="shared" si="58"/>
        <v>-8.1475377082824707E-3</v>
      </c>
      <c r="AH128" s="2">
        <f t="shared" si="59"/>
        <v>-0.92568421363830611</v>
      </c>
      <c r="AI128" s="2">
        <f t="shared" si="59"/>
        <v>-0.48155260086059481</v>
      </c>
      <c r="AL128" s="48">
        <v>7</v>
      </c>
      <c r="AM128" s="47" t="s">
        <v>10</v>
      </c>
      <c r="AN128" s="47">
        <v>514</v>
      </c>
      <c r="AO128" s="47">
        <v>1026</v>
      </c>
      <c r="AP128" s="47">
        <v>-0.10601486005425401</v>
      </c>
      <c r="AQ128" s="47">
        <v>12.032108306884769</v>
      </c>
      <c r="AR128" s="47">
        <v>10.76106595993042</v>
      </c>
      <c r="AS128" s="4"/>
      <c r="AT128" s="2">
        <f t="shared" si="60"/>
        <v>-0.18261725940346665</v>
      </c>
      <c r="AU128" s="2">
        <f t="shared" si="61"/>
        <v>-8.2533085346221959</v>
      </c>
      <c r="AV128" s="2">
        <f t="shared" si="61"/>
        <v>-7.8116533756256104</v>
      </c>
    </row>
    <row r="129" spans="12:48">
      <c r="L129"/>
      <c r="M129" s="48">
        <v>4</v>
      </c>
      <c r="N129" s="47" t="s">
        <v>14</v>
      </c>
      <c r="O129" s="47">
        <v>388</v>
      </c>
      <c r="P129" s="47">
        <v>741</v>
      </c>
      <c r="Q129" s="47">
        <v>-0.23031651973724371</v>
      </c>
      <c r="R129" s="47">
        <v>4.0164532661437988</v>
      </c>
      <c r="S129" s="47">
        <v>3.1279315948486328</v>
      </c>
      <c r="T129" s="4"/>
      <c r="U129" s="2">
        <f t="shared" si="56"/>
        <v>-0.25576543807983404</v>
      </c>
      <c r="V129" s="2">
        <f t="shared" si="57"/>
        <v>23.37672758102417</v>
      </c>
      <c r="W129" s="2">
        <f t="shared" si="57"/>
        <v>9.5421590805053675</v>
      </c>
      <c r="Y129" s="48">
        <v>0</v>
      </c>
      <c r="Z129" s="47" t="s">
        <v>11</v>
      </c>
      <c r="AA129" s="47">
        <v>62</v>
      </c>
      <c r="AB129" s="47">
        <v>125</v>
      </c>
      <c r="AC129" s="47">
        <v>-0.78067004680633545</v>
      </c>
      <c r="AD129" s="47">
        <v>3.783516407012939</v>
      </c>
      <c r="AE129" s="47">
        <v>2.4377093315124512</v>
      </c>
      <c r="AF129" s="4"/>
      <c r="AG129" s="2">
        <f t="shared" si="58"/>
        <v>-0.80611896514892578</v>
      </c>
      <c r="AH129" s="2">
        <f t="shared" si="59"/>
        <v>23.609664440155029</v>
      </c>
      <c r="AI129" s="2">
        <f t="shared" si="59"/>
        <v>10.232381343841549</v>
      </c>
      <c r="AL129" s="48">
        <v>0</v>
      </c>
      <c r="AM129" s="47" t="s">
        <v>11</v>
      </c>
      <c r="AN129" s="47">
        <v>74</v>
      </c>
      <c r="AO129" s="47">
        <v>149</v>
      </c>
      <c r="AP129" s="47">
        <v>-0.13163065910339361</v>
      </c>
      <c r="AQ129" s="47">
        <v>10.577784538269039</v>
      </c>
      <c r="AR129" s="47">
        <v>6.4861698150634766</v>
      </c>
      <c r="AS129" s="4"/>
      <c r="AT129" s="2">
        <f t="shared" si="60"/>
        <v>-0.15707957744598394</v>
      </c>
      <c r="AU129" s="2">
        <f t="shared" si="61"/>
        <v>16.815396308898929</v>
      </c>
      <c r="AV129" s="2">
        <f t="shared" si="61"/>
        <v>6.1839208602905238</v>
      </c>
    </row>
    <row r="130" spans="12:48">
      <c r="L130"/>
      <c r="M130" s="48">
        <v>5</v>
      </c>
      <c r="N130" s="47" t="s">
        <v>13</v>
      </c>
      <c r="O130" s="47">
        <v>371</v>
      </c>
      <c r="P130" s="47">
        <v>742</v>
      </c>
      <c r="Q130" s="47">
        <v>-0.36800503730773931</v>
      </c>
      <c r="R130" s="47">
        <v>3.4249792098999019</v>
      </c>
      <c r="S130" s="47">
        <v>2.4859025478363042</v>
      </c>
      <c r="T130" s="4"/>
      <c r="U130" s="2">
        <f t="shared" si="56"/>
        <v>1.1206459999084477</v>
      </c>
      <c r="V130" s="2">
        <f t="shared" si="57"/>
        <v>1.5910143852233891</v>
      </c>
      <c r="W130" s="2">
        <f t="shared" si="57"/>
        <v>1.5166432857513414</v>
      </c>
      <c r="Y130" s="48">
        <v>3</v>
      </c>
      <c r="Z130" s="47" t="s">
        <v>12</v>
      </c>
      <c r="AA130" s="47">
        <v>221</v>
      </c>
      <c r="AB130" s="47">
        <v>437</v>
      </c>
      <c r="AC130" s="47">
        <v>-0.33678245544433588</v>
      </c>
      <c r="AD130" s="47">
        <v>2.8792521953582759</v>
      </c>
      <c r="AE130" s="47">
        <v>2.1539781093597412</v>
      </c>
      <c r="AF130" s="4"/>
      <c r="AG130" s="2">
        <f t="shared" si="58"/>
        <v>1.151868581771851</v>
      </c>
      <c r="AH130" s="2">
        <f t="shared" si="59"/>
        <v>2.1367413997650151</v>
      </c>
      <c r="AI130" s="2">
        <f t="shared" si="59"/>
        <v>1.8485677242279044</v>
      </c>
      <c r="AL130" s="48">
        <v>1</v>
      </c>
      <c r="AM130" s="47" t="s">
        <v>12</v>
      </c>
      <c r="AN130" s="47">
        <v>206</v>
      </c>
      <c r="AO130" s="47">
        <v>406</v>
      </c>
      <c r="AP130" s="47">
        <v>-0.14880704879760739</v>
      </c>
      <c r="AQ130" s="47">
        <v>3.87245774269104</v>
      </c>
      <c r="AR130" s="47">
        <v>2.935936450958252</v>
      </c>
      <c r="AS130" s="4"/>
      <c r="AT130" s="2">
        <f t="shared" si="60"/>
        <v>1.3398439884185795</v>
      </c>
      <c r="AU130" s="2">
        <f t="shared" si="61"/>
        <v>1.143535852432251</v>
      </c>
      <c r="AV130" s="2">
        <f t="shared" si="61"/>
        <v>1.0666093826293936</v>
      </c>
    </row>
    <row r="131" spans="12:48">
      <c r="L131"/>
      <c r="M131" s="48">
        <v>6</v>
      </c>
      <c r="N131" s="47" t="s">
        <v>10</v>
      </c>
      <c r="O131" s="47">
        <v>509</v>
      </c>
      <c r="P131" s="47">
        <v>992</v>
      </c>
      <c r="Q131" s="47">
        <v>4.1227638721466058E-2</v>
      </c>
      <c r="R131" s="47">
        <v>4.7744979858398438</v>
      </c>
      <c r="S131" s="47">
        <v>3.5671787261962891</v>
      </c>
      <c r="T131" s="4"/>
      <c r="U131" s="2">
        <f t="shared" si="56"/>
        <v>-2.1922945976257331E-2</v>
      </c>
      <c r="V131" s="2">
        <f t="shared" si="57"/>
        <v>-0.35186052322387695</v>
      </c>
      <c r="W131" s="2">
        <f t="shared" si="57"/>
        <v>-4.5849323272705078E-2</v>
      </c>
      <c r="Y131" s="48">
        <v>5</v>
      </c>
      <c r="Z131" s="47" t="s">
        <v>13</v>
      </c>
      <c r="AA131" s="47">
        <v>366</v>
      </c>
      <c r="AB131" s="47">
        <v>732</v>
      </c>
      <c r="AC131" s="47">
        <v>-0.35575127601623541</v>
      </c>
      <c r="AD131" s="47">
        <v>3.44475245475769</v>
      </c>
      <c r="AE131" s="47">
        <v>2.5450813770294189</v>
      </c>
      <c r="AF131" s="4"/>
      <c r="AG131" s="2">
        <f t="shared" si="58"/>
        <v>-0.4189018607139588</v>
      </c>
      <c r="AH131" s="2">
        <f t="shared" si="59"/>
        <v>0.97788500785827681</v>
      </c>
      <c r="AI131" s="2">
        <f t="shared" si="59"/>
        <v>0.97624802589416504</v>
      </c>
      <c r="AL131" s="48">
        <v>4</v>
      </c>
      <c r="AM131" s="47" t="s">
        <v>13</v>
      </c>
      <c r="AN131" s="47">
        <v>332</v>
      </c>
      <c r="AO131" s="47">
        <v>666</v>
      </c>
      <c r="AP131" s="47">
        <v>-0.20877492427825931</v>
      </c>
      <c r="AQ131" s="47">
        <v>4.8657464981079102</v>
      </c>
      <c r="AR131" s="47">
        <v>3.5763463973999019</v>
      </c>
      <c r="AS131" s="4"/>
      <c r="AT131" s="2">
        <f t="shared" si="60"/>
        <v>-0.27192550897598267</v>
      </c>
      <c r="AU131" s="2">
        <f t="shared" si="61"/>
        <v>-0.44310903549194336</v>
      </c>
      <c r="AV131" s="2">
        <f t="shared" si="61"/>
        <v>-5.5016994476317915E-2</v>
      </c>
    </row>
    <row r="132" spans="12:48" ht="15.75" thickBot="1">
      <c r="L132"/>
      <c r="M132" s="48">
        <v>7</v>
      </c>
      <c r="N132" s="47" t="s">
        <v>7</v>
      </c>
      <c r="O132" s="47">
        <v>518</v>
      </c>
      <c r="P132" s="47">
        <v>1035</v>
      </c>
      <c r="Q132" s="47">
        <v>-0.20980280637741089</v>
      </c>
      <c r="R132" s="47">
        <v>2.4936544895172119</v>
      </c>
      <c r="S132" s="47">
        <v>1.9109212160110469</v>
      </c>
      <c r="T132" s="4"/>
      <c r="U132" s="2">
        <f t="shared" si="56"/>
        <v>-0.17639303207397461</v>
      </c>
      <c r="V132" s="2">
        <f t="shared" si="57"/>
        <v>17.273229360580448</v>
      </c>
      <c r="W132" s="2">
        <f t="shared" si="57"/>
        <v>6.734066367149353</v>
      </c>
      <c r="Y132" s="48">
        <v>4</v>
      </c>
      <c r="Z132" s="47" t="s">
        <v>14</v>
      </c>
      <c r="AA132" s="47">
        <v>341</v>
      </c>
      <c r="AB132" s="47">
        <v>660</v>
      </c>
      <c r="AC132" s="47">
        <v>-0.41383063793182367</v>
      </c>
      <c r="AD132" s="47">
        <v>4.470921516418457</v>
      </c>
      <c r="AE132" s="47">
        <v>3.353568553924561</v>
      </c>
      <c r="AF132" s="4"/>
      <c r="AG132" s="2">
        <f t="shared" si="58"/>
        <v>-0.3804208636283874</v>
      </c>
      <c r="AH132" s="2">
        <f t="shared" si="59"/>
        <v>15.295962333679203</v>
      </c>
      <c r="AI132" s="2">
        <f t="shared" si="59"/>
        <v>5.2914190292358398</v>
      </c>
      <c r="AL132" s="48">
        <v>5</v>
      </c>
      <c r="AM132" s="47" t="s">
        <v>14</v>
      </c>
      <c r="AN132" s="47">
        <v>436</v>
      </c>
      <c r="AO132" s="47">
        <v>881</v>
      </c>
      <c r="AP132" s="47">
        <v>-0.11504495143890379</v>
      </c>
      <c r="AQ132" s="47">
        <v>7.8490757942199707</v>
      </c>
      <c r="AR132" s="47">
        <v>5.8837285041809082</v>
      </c>
      <c r="AS132" s="4"/>
      <c r="AT132" s="2">
        <f t="shared" si="60"/>
        <v>-8.1635177135467515E-2</v>
      </c>
      <c r="AU132" s="2">
        <f t="shared" si="61"/>
        <v>11.917808055877689</v>
      </c>
      <c r="AV132" s="2">
        <f t="shared" si="61"/>
        <v>2.7612590789794922</v>
      </c>
    </row>
    <row r="133" spans="12:48" ht="15.75" thickBot="1">
      <c r="L133"/>
      <c r="M133" s="55"/>
      <c r="N133" s="56"/>
      <c r="O133" s="56"/>
      <c r="P133" s="56"/>
      <c r="Q133" s="56"/>
      <c r="R133" s="56"/>
      <c r="S133" s="56"/>
      <c r="T133" s="6" t="s">
        <v>19</v>
      </c>
      <c r="U133" s="7">
        <f>SUM(U125:U132)</f>
        <v>-4.274167001247406</v>
      </c>
      <c r="V133" s="7">
        <f>SUM(V125:V132)</f>
        <v>41.219747066497803</v>
      </c>
      <c r="W133" s="8">
        <f>SUM(W125:W132)</f>
        <v>18.370149254798882</v>
      </c>
      <c r="Y133" s="55"/>
      <c r="Z133" s="56"/>
      <c r="AA133" s="56"/>
      <c r="AB133" s="56"/>
      <c r="AC133" s="56"/>
      <c r="AD133" s="56"/>
      <c r="AE133" s="56"/>
      <c r="AF133" s="6" t="s">
        <v>19</v>
      </c>
      <c r="AG133" s="7">
        <f>SUM(AG125:AG132)</f>
        <v>-1.7246144413948055</v>
      </c>
      <c r="AH133" s="7">
        <f>SUM(AH125:AH132)</f>
        <v>41.394592523574829</v>
      </c>
      <c r="AI133" s="8">
        <f>SUM(AI125:AI132)</f>
        <v>19.015680551528927</v>
      </c>
      <c r="AL133" s="55"/>
      <c r="AM133" s="56"/>
      <c r="AN133" s="56"/>
      <c r="AO133" s="56"/>
      <c r="AP133" s="56"/>
      <c r="AQ133" s="56"/>
      <c r="AR133" s="56"/>
      <c r="AS133" s="6" t="s">
        <v>19</v>
      </c>
      <c r="AT133" s="7">
        <f>SUM(AT125:AT132)</f>
        <v>7.8758048633337921E-2</v>
      </c>
      <c r="AU133" s="7">
        <f>SUM(AU125:AU132)</f>
        <v>14.076019287109379</v>
      </c>
      <c r="AV133" s="8">
        <f>SUM(AV125:AV132)</f>
        <v>-2.0777695178985631</v>
      </c>
    </row>
  </sheetData>
  <autoFilter ref="AL124:AR132">
    <sortState ref="AL125:AR132">
      <sortCondition ref="AM124:AM132"/>
    </sortState>
  </autoFilter>
  <mergeCells count="58">
    <mergeCell ref="AM74:AR74"/>
    <mergeCell ref="M62:W62"/>
    <mergeCell ref="Y62:AI62"/>
    <mergeCell ref="AL62:AV62"/>
    <mergeCell ref="M60:W61"/>
    <mergeCell ref="N63:S63"/>
    <mergeCell ref="AL60:AV61"/>
    <mergeCell ref="AM63:AR63"/>
    <mergeCell ref="N85:S85"/>
    <mergeCell ref="Y60:AI61"/>
    <mergeCell ref="Z63:AE63"/>
    <mergeCell ref="Z74:AE74"/>
    <mergeCell ref="Z85:AE85"/>
    <mergeCell ref="N74:S74"/>
    <mergeCell ref="I3:N4"/>
    <mergeCell ref="AM12:AR12"/>
    <mergeCell ref="AM23:AR23"/>
    <mergeCell ref="AM34:AR34"/>
    <mergeCell ref="Z34:AE34"/>
    <mergeCell ref="Z12:AE12"/>
    <mergeCell ref="Z23:AE23"/>
    <mergeCell ref="N34:S34"/>
    <mergeCell ref="A2:G2"/>
    <mergeCell ref="A12:G12"/>
    <mergeCell ref="A48:G48"/>
    <mergeCell ref="A23:G23"/>
    <mergeCell ref="A34:G34"/>
    <mergeCell ref="L98:L99"/>
    <mergeCell ref="Y6:Y7"/>
    <mergeCell ref="AL6:AL7"/>
    <mergeCell ref="Y58:Y59"/>
    <mergeCell ref="M58:M59"/>
    <mergeCell ref="AL58:AL59"/>
    <mergeCell ref="AL10:AV10"/>
    <mergeCell ref="AL8:AV9"/>
    <mergeCell ref="Y8:AI9"/>
    <mergeCell ref="N12:S12"/>
    <mergeCell ref="N23:S23"/>
    <mergeCell ref="M8:W9"/>
    <mergeCell ref="M10:W10"/>
    <mergeCell ref="M11:W11"/>
    <mergeCell ref="M6:M7"/>
    <mergeCell ref="AM85:AR85"/>
    <mergeCell ref="AM123:AR123"/>
    <mergeCell ref="AM112:AR112"/>
    <mergeCell ref="AM101:AR101"/>
    <mergeCell ref="AL98:AV99"/>
    <mergeCell ref="Z123:AE123"/>
    <mergeCell ref="Z112:AE112"/>
    <mergeCell ref="Z101:AE101"/>
    <mergeCell ref="Y98:AI99"/>
    <mergeCell ref="N123:S123"/>
    <mergeCell ref="N112:S112"/>
    <mergeCell ref="N101:S101"/>
    <mergeCell ref="M98:W99"/>
    <mergeCell ref="AK98:AK99"/>
    <mergeCell ref="Y100:AI100"/>
    <mergeCell ref="X98:X99"/>
  </mergeCells>
  <conditionalFormatting sqref="E3:G10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:G21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L21">
    <cfRule type="cellIs" dxfId="305" priority="400" operator="greaterThan">
      <formula>0</formula>
    </cfRule>
    <cfRule type="cellIs" dxfId="304" priority="401" operator="lessThan">
      <formula>0</formula>
    </cfRule>
    <cfRule type="cellIs" dxfId="303" priority="402" operator="greaterThan">
      <formula>0</formula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:L22">
    <cfRule type="cellIs" dxfId="302" priority="396" operator="greaterThan">
      <formula>0</formula>
    </cfRule>
    <cfRule type="cellIs" dxfId="301" priority="397" operator="lessThan">
      <formula>0</formula>
    </cfRule>
    <cfRule type="cellIs" dxfId="300" priority="398" operator="greaterThan">
      <formula>0</formula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5:L32">
    <cfRule type="cellIs" dxfId="299" priority="392" operator="greaterThan">
      <formula>0</formula>
    </cfRule>
    <cfRule type="cellIs" dxfId="298" priority="393" operator="lessThan">
      <formula>0</formula>
    </cfRule>
    <cfRule type="cellIs" dxfId="297" priority="394" operator="greaterThan">
      <formula>0</formula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:L33">
    <cfRule type="cellIs" dxfId="296" priority="388" operator="greaterThan">
      <formula>0</formula>
    </cfRule>
    <cfRule type="cellIs" dxfId="295" priority="389" operator="lessThan">
      <formula>0</formula>
    </cfRule>
    <cfRule type="cellIs" dxfId="294" priority="390" operator="greaterThan">
      <formula>0</formula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6:L43">
    <cfRule type="cellIs" dxfId="293" priority="384" operator="greaterThan">
      <formula>0</formula>
    </cfRule>
    <cfRule type="cellIs" dxfId="292" priority="385" operator="lessThan">
      <formula>0</formula>
    </cfRule>
    <cfRule type="cellIs" dxfId="291" priority="386" operator="greaterThan">
      <formula>0</formula>
    </cfRule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4:L44">
    <cfRule type="cellIs" dxfId="290" priority="380" operator="greaterThan">
      <formula>0</formula>
    </cfRule>
    <cfRule type="cellIs" dxfId="289" priority="381" operator="lessThan">
      <formula>0</formula>
    </cfRule>
    <cfRule type="cellIs" dxfId="288" priority="382" operator="greaterThan">
      <formula>0</formula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6:G43 E25:G32 E14:G21 E3:G10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0 E14:E21 E25:E32 E36:E43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0:G57 F3:G10 F14:G21 F25:G32 F36:G43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0:E57 E14:E21 E3:E10 E25:E32 E36:E43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6:AI43">
    <cfRule type="cellIs" dxfId="287" priority="364" operator="greaterThan">
      <formula>0</formula>
    </cfRule>
    <cfRule type="cellIs" dxfId="286" priority="365" operator="lessThan">
      <formula>0</formula>
    </cfRule>
    <cfRule type="cellIs" dxfId="285" priority="366" operator="greaterThan">
      <formula>0</formula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44:AI44">
    <cfRule type="cellIs" dxfId="284" priority="360" operator="greaterThan">
      <formula>0</formula>
    </cfRule>
    <cfRule type="cellIs" dxfId="283" priority="361" operator="lessThan">
      <formula>0</formula>
    </cfRule>
    <cfRule type="cellIs" dxfId="282" priority="362" operator="greaterThan">
      <formula>0</formula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4:AI21">
    <cfRule type="cellIs" dxfId="281" priority="356" operator="greaterThan">
      <formula>0</formula>
    </cfRule>
    <cfRule type="cellIs" dxfId="280" priority="357" operator="lessThan">
      <formula>0</formula>
    </cfRule>
    <cfRule type="cellIs" dxfId="279" priority="358" operator="greaterThan">
      <formula>0</formula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2:AI22">
    <cfRule type="cellIs" dxfId="278" priority="352" operator="greaterThan">
      <formula>0</formula>
    </cfRule>
    <cfRule type="cellIs" dxfId="277" priority="353" operator="lessThan">
      <formula>0</formula>
    </cfRule>
    <cfRule type="cellIs" dxfId="276" priority="354" operator="greaterThan">
      <formula>0</formula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5:AI32">
    <cfRule type="cellIs" dxfId="275" priority="348" operator="greaterThan">
      <formula>0</formula>
    </cfRule>
    <cfRule type="cellIs" dxfId="274" priority="349" operator="lessThan">
      <formula>0</formula>
    </cfRule>
    <cfRule type="cellIs" dxfId="273" priority="350" operator="greaterThan">
      <formula>0</formula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3:AI33">
    <cfRule type="cellIs" dxfId="272" priority="344" operator="greaterThan">
      <formula>0</formula>
    </cfRule>
    <cfRule type="cellIs" dxfId="271" priority="345" operator="lessThan">
      <formula>0</formula>
    </cfRule>
    <cfRule type="cellIs" dxfId="270" priority="346" operator="greaterThan">
      <formula>0</formula>
    </cfRule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58:G58">
    <cfRule type="cellIs" dxfId="269" priority="430" operator="greaterThan">
      <formula>0</formula>
    </cfRule>
    <cfRule type="cellIs" dxfId="268" priority="431" operator="lessThan">
      <formula>0</formula>
    </cfRule>
    <cfRule type="cellIs" dxfId="267" priority="432" operator="greaterThan">
      <formula>0</formula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3:Y23">
    <cfRule type="cellIs" dxfId="266" priority="434" operator="greaterThan">
      <formula>0</formula>
    </cfRule>
    <cfRule type="cellIs" dxfId="265" priority="435" operator="lessThan">
      <formula>0</formula>
    </cfRule>
    <cfRule type="cellIs" dxfId="264" priority="436" operator="greaterThan">
      <formula>0</formula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36:AV43">
    <cfRule type="cellIs" dxfId="263" priority="328" operator="greaterThan">
      <formula>0</formula>
    </cfRule>
    <cfRule type="cellIs" dxfId="262" priority="329" operator="lessThan">
      <formula>0</formula>
    </cfRule>
    <cfRule type="cellIs" dxfId="261" priority="330" operator="greaterThan">
      <formula>0</formula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44:AV44">
    <cfRule type="cellIs" dxfId="260" priority="324" operator="greaterThan">
      <formula>0</formula>
    </cfRule>
    <cfRule type="cellIs" dxfId="259" priority="325" operator="lessThan">
      <formula>0</formula>
    </cfRule>
    <cfRule type="cellIs" dxfId="258" priority="326" operator="greaterThan">
      <formula>0</formula>
    </cfRule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4:AV21">
    <cfRule type="cellIs" dxfId="257" priority="320" operator="greaterThan">
      <formula>0</formula>
    </cfRule>
    <cfRule type="cellIs" dxfId="256" priority="321" operator="lessThan">
      <formula>0</formula>
    </cfRule>
    <cfRule type="cellIs" dxfId="255" priority="322" operator="greaterThan">
      <formula>0</formula>
    </cfRule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22:AV22">
    <cfRule type="cellIs" dxfId="254" priority="316" operator="greaterThan">
      <formula>0</formula>
    </cfRule>
    <cfRule type="cellIs" dxfId="253" priority="317" operator="lessThan">
      <formula>0</formula>
    </cfRule>
    <cfRule type="cellIs" dxfId="252" priority="318" operator="greaterThan">
      <formula>0</formula>
    </cfRule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25:AV32">
    <cfRule type="cellIs" dxfId="251" priority="312" operator="greaterThan">
      <formula>0</formula>
    </cfRule>
    <cfRule type="cellIs" dxfId="250" priority="313" operator="lessThan">
      <formula>0</formula>
    </cfRule>
    <cfRule type="cellIs" dxfId="249" priority="314" operator="greaterThan">
      <formula>0</formula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33:AV33">
    <cfRule type="cellIs" dxfId="248" priority="308" operator="greaterThan">
      <formula>0</formula>
    </cfRule>
    <cfRule type="cellIs" dxfId="247" priority="309" operator="lessThan">
      <formula>0</formula>
    </cfRule>
    <cfRule type="cellIs" dxfId="246" priority="310" operator="greaterThan">
      <formula>0</formula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23">
    <cfRule type="cellIs" dxfId="245" priority="332" operator="greaterThan">
      <formula>0</formula>
    </cfRule>
    <cfRule type="cellIs" dxfId="244" priority="333" operator="lessThan">
      <formula>0</formula>
    </cfRule>
    <cfRule type="cellIs" dxfId="243" priority="334" operator="greaterThan">
      <formula>0</formula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6:W43">
    <cfRule type="cellIs" dxfId="242" priority="284" operator="greaterThan">
      <formula>0</formula>
    </cfRule>
    <cfRule type="cellIs" dxfId="241" priority="285" operator="lessThan">
      <formula>0</formula>
    </cfRule>
    <cfRule type="cellIs" dxfId="240" priority="286" operator="greaterThan">
      <formula>0</formula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4:W44">
    <cfRule type="cellIs" dxfId="239" priority="280" operator="greaterThan">
      <formula>0</formula>
    </cfRule>
    <cfRule type="cellIs" dxfId="238" priority="281" operator="lessThan">
      <formula>0</formula>
    </cfRule>
    <cfRule type="cellIs" dxfId="237" priority="282" operator="greaterThan">
      <formula>0</formula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:W21">
    <cfRule type="cellIs" dxfId="236" priority="276" operator="greaterThan">
      <formula>0</formula>
    </cfRule>
    <cfRule type="cellIs" dxfId="235" priority="277" operator="lessThan">
      <formula>0</formula>
    </cfRule>
    <cfRule type="cellIs" dxfId="234" priority="278" operator="greaterThan">
      <formula>0</formula>
    </cfRule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2:W22">
    <cfRule type="cellIs" dxfId="233" priority="272" operator="greaterThan">
      <formula>0</formula>
    </cfRule>
    <cfRule type="cellIs" dxfId="232" priority="273" operator="lessThan">
      <formula>0</formula>
    </cfRule>
    <cfRule type="cellIs" dxfId="231" priority="274" operator="greaterThan">
      <formula>0</formula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5:W32">
    <cfRule type="cellIs" dxfId="230" priority="268" operator="greaterThan">
      <formula>0</formula>
    </cfRule>
    <cfRule type="cellIs" dxfId="229" priority="269" operator="lessThan">
      <formula>0</formula>
    </cfRule>
    <cfRule type="cellIs" dxfId="228" priority="270" operator="greaterThan">
      <formula>0</formula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3:W33">
    <cfRule type="cellIs" dxfId="227" priority="264" operator="greaterThan">
      <formula>0</formula>
    </cfRule>
    <cfRule type="cellIs" dxfId="226" priority="265" operator="lessThan">
      <formula>0</formula>
    </cfRule>
    <cfRule type="cellIs" dxfId="225" priority="266" operator="greaterThan">
      <formula>0</formula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3">
    <cfRule type="cellIs" dxfId="224" priority="288" operator="greaterThan">
      <formula>0</formula>
    </cfRule>
    <cfRule type="cellIs" dxfId="223" priority="289" operator="lessThan">
      <formula>0</formula>
    </cfRule>
    <cfRule type="cellIs" dxfId="222" priority="290" operator="greaterThan">
      <formula>0</formula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:S21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0:S51 I52:M57">
    <cfRule type="cellIs" dxfId="221" priority="438" operator="greaterThan">
      <formula>0</formula>
    </cfRule>
    <cfRule type="cellIs" dxfId="220" priority="439" operator="lessThan">
      <formula>0</formula>
    </cfRule>
    <cfRule type="cellIs" dxfId="219" priority="440" operator="greaterThan">
      <formula>0</formula>
    </cfRule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:L58">
    <cfRule type="cellIs" dxfId="218" priority="450" operator="greaterThan">
      <formula>0</formula>
    </cfRule>
    <cfRule type="cellIs" dxfId="217" priority="451" operator="lessThan">
      <formula>0</formula>
    </cfRule>
    <cfRule type="cellIs" dxfId="216" priority="452" operator="greaterThan">
      <formula>0</formula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5:S32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6:S43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:Q21 Q25:Q32 Q36:Q43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7:W94">
    <cfRule type="cellIs" dxfId="215" priority="252" operator="greaterThan">
      <formula>0</formula>
    </cfRule>
    <cfRule type="cellIs" dxfId="214" priority="253" operator="lessThan">
      <formula>0</formula>
    </cfRule>
    <cfRule type="cellIs" dxfId="213" priority="254" operator="greaterThan">
      <formula>0</formula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5:W95">
    <cfRule type="cellIs" dxfId="212" priority="248" operator="greaterThan">
      <formula>0</formula>
    </cfRule>
    <cfRule type="cellIs" dxfId="211" priority="249" operator="lessThan">
      <formula>0</formula>
    </cfRule>
    <cfRule type="cellIs" dxfId="210" priority="250" operator="greaterThan">
      <formula>0</formula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5:W72">
    <cfRule type="cellIs" dxfId="209" priority="244" operator="greaterThan">
      <formula>0</formula>
    </cfRule>
    <cfRule type="cellIs" dxfId="208" priority="245" operator="lessThan">
      <formula>0</formula>
    </cfRule>
    <cfRule type="cellIs" dxfId="207" priority="246" operator="greaterThan">
      <formula>0</formula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3:W73">
    <cfRule type="cellIs" dxfId="206" priority="240" operator="greaterThan">
      <formula>0</formula>
    </cfRule>
    <cfRule type="cellIs" dxfId="205" priority="241" operator="lessThan">
      <formula>0</formula>
    </cfRule>
    <cfRule type="cellIs" dxfId="204" priority="242" operator="greaterThan">
      <formula>0</formula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6:W83">
    <cfRule type="cellIs" dxfId="203" priority="236" operator="greaterThan">
      <formula>0</formula>
    </cfRule>
    <cfRule type="cellIs" dxfId="202" priority="237" operator="lessThan">
      <formula>0</formula>
    </cfRule>
    <cfRule type="cellIs" dxfId="201" priority="238" operator="greaterThan">
      <formula>0</formula>
    </cfRule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4:W84">
    <cfRule type="cellIs" dxfId="200" priority="232" operator="greaterThan">
      <formula>0</formula>
    </cfRule>
    <cfRule type="cellIs" dxfId="199" priority="233" operator="lessThan">
      <formula>0</formula>
    </cfRule>
    <cfRule type="cellIs" dxfId="198" priority="234" operator="greaterThan">
      <formula>0</formula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74">
    <cfRule type="cellIs" dxfId="197" priority="256" operator="greaterThan">
      <formula>0</formula>
    </cfRule>
    <cfRule type="cellIs" dxfId="196" priority="257" operator="lessThan">
      <formula>0</formula>
    </cfRule>
    <cfRule type="cellIs" dxfId="195" priority="258" operator="greaterThan">
      <formula>0</formula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5:S72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6:S83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6:Q83 Q65:Q72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7:Q94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7:S94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7:AI94">
    <cfRule type="cellIs" dxfId="194" priority="216" operator="greaterThan">
      <formula>0</formula>
    </cfRule>
    <cfRule type="cellIs" dxfId="193" priority="217" operator="lessThan">
      <formula>0</formula>
    </cfRule>
    <cfRule type="cellIs" dxfId="192" priority="218" operator="greaterThan">
      <formula>0</formula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5:AI95">
    <cfRule type="cellIs" dxfId="191" priority="212" operator="greaterThan">
      <formula>0</formula>
    </cfRule>
    <cfRule type="cellIs" dxfId="190" priority="213" operator="lessThan">
      <formula>0</formula>
    </cfRule>
    <cfRule type="cellIs" dxfId="189" priority="214" operator="greaterThan">
      <formula>0</formula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65:AI72">
    <cfRule type="cellIs" dxfId="188" priority="208" operator="greaterThan">
      <formula>0</formula>
    </cfRule>
    <cfRule type="cellIs" dxfId="187" priority="209" operator="lessThan">
      <formula>0</formula>
    </cfRule>
    <cfRule type="cellIs" dxfId="186" priority="210" operator="greaterThan">
      <formula>0</formula>
    </cfRule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73:AI73">
    <cfRule type="cellIs" dxfId="185" priority="204" operator="greaterThan">
      <formula>0</formula>
    </cfRule>
    <cfRule type="cellIs" dxfId="184" priority="205" operator="lessThan">
      <formula>0</formula>
    </cfRule>
    <cfRule type="cellIs" dxfId="183" priority="206" operator="greaterThan">
      <formula>0</formula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76:AI83">
    <cfRule type="cellIs" dxfId="182" priority="200" operator="greaterThan">
      <formula>0</formula>
    </cfRule>
    <cfRule type="cellIs" dxfId="181" priority="201" operator="lessThan">
      <formula>0</formula>
    </cfRule>
    <cfRule type="cellIs" dxfId="180" priority="202" operator="greaterThan">
      <formula>0</formula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84:AI84">
    <cfRule type="cellIs" dxfId="179" priority="196" operator="greaterThan">
      <formula>0</formula>
    </cfRule>
    <cfRule type="cellIs" dxfId="178" priority="197" operator="lessThan">
      <formula>0</formula>
    </cfRule>
    <cfRule type="cellIs" dxfId="177" priority="198" operator="greaterThan">
      <formula>0</formula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4">
    <cfRule type="cellIs" dxfId="176" priority="220" operator="greaterThan">
      <formula>0</formula>
    </cfRule>
    <cfRule type="cellIs" dxfId="175" priority="221" operator="lessThan">
      <formula>0</formula>
    </cfRule>
    <cfRule type="cellIs" dxfId="174" priority="222" operator="greaterThan">
      <formula>0</formula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87:AV94">
    <cfRule type="cellIs" dxfId="173" priority="183" operator="greaterThan">
      <formula>0</formula>
    </cfRule>
    <cfRule type="cellIs" dxfId="172" priority="184" operator="lessThan">
      <formula>0</formula>
    </cfRule>
    <cfRule type="cellIs" dxfId="171" priority="185" operator="greaterThan">
      <formula>0</formula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95:AV95">
    <cfRule type="cellIs" dxfId="170" priority="179" operator="greaterThan">
      <formula>0</formula>
    </cfRule>
    <cfRule type="cellIs" dxfId="169" priority="180" operator="lessThan">
      <formula>0</formula>
    </cfRule>
    <cfRule type="cellIs" dxfId="168" priority="181" operator="greaterThan">
      <formula>0</formula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65:AV72">
    <cfRule type="cellIs" dxfId="167" priority="175" operator="greaterThan">
      <formula>0</formula>
    </cfRule>
    <cfRule type="cellIs" dxfId="166" priority="176" operator="lessThan">
      <formula>0</formula>
    </cfRule>
    <cfRule type="cellIs" dxfId="165" priority="177" operator="greaterThan">
      <formula>0</formula>
    </cfRule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73:AV73">
    <cfRule type="cellIs" dxfId="164" priority="171" operator="greaterThan">
      <formula>0</formula>
    </cfRule>
    <cfRule type="cellIs" dxfId="163" priority="172" operator="lessThan">
      <formula>0</formula>
    </cfRule>
    <cfRule type="cellIs" dxfId="162" priority="173" operator="greaterThan">
      <formula>0</formula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76:AV83">
    <cfRule type="cellIs" dxfId="161" priority="167" operator="greaterThan">
      <formula>0</formula>
    </cfRule>
    <cfRule type="cellIs" dxfId="160" priority="168" operator="lessThan">
      <formula>0</formula>
    </cfRule>
    <cfRule type="cellIs" dxfId="159" priority="169" operator="greaterThan">
      <formula>0</formula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84:AV84">
    <cfRule type="cellIs" dxfId="158" priority="163" operator="greaterThan">
      <formula>0</formula>
    </cfRule>
    <cfRule type="cellIs" dxfId="157" priority="164" operator="lessThan">
      <formula>0</formula>
    </cfRule>
    <cfRule type="cellIs" dxfId="156" priority="165" operator="greaterThan">
      <formula>0</formula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74">
    <cfRule type="cellIs" dxfId="155" priority="187" operator="greaterThan">
      <formula>0</formula>
    </cfRule>
    <cfRule type="cellIs" dxfId="154" priority="188" operator="lessThan">
      <formula>0</formula>
    </cfRule>
    <cfRule type="cellIs" dxfId="153" priority="189" operator="greaterThan">
      <formula>0</formula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65:AR72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76:AR83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6:AP83 AP65:AP72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87:AP94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87:AR9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3:W110">
    <cfRule type="cellIs" dxfId="152" priority="141" operator="greaterThan">
      <formula>0</formula>
    </cfRule>
    <cfRule type="cellIs" dxfId="151" priority="142" operator="lessThan">
      <formula>0</formula>
    </cfRule>
    <cfRule type="cellIs" dxfId="150" priority="143" operator="greaterThan">
      <formula>0</formula>
    </cfRule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1:W111">
    <cfRule type="cellIs" dxfId="149" priority="137" operator="greaterThan">
      <formula>0</formula>
    </cfRule>
    <cfRule type="cellIs" dxfId="148" priority="138" operator="lessThan">
      <formula>0</formula>
    </cfRule>
    <cfRule type="cellIs" dxfId="147" priority="139" operator="greaterThan">
      <formula>0</formula>
    </cfRule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12">
    <cfRule type="cellIs" dxfId="146" priority="153" operator="greaterThan">
      <formula>0</formula>
    </cfRule>
    <cfRule type="cellIs" dxfId="145" priority="154" operator="lessThan">
      <formula>0</formula>
    </cfRule>
    <cfRule type="cellIs" dxfId="144" priority="155" operator="greaterThan">
      <formula>0</formula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4:W121">
    <cfRule type="cellIs" dxfId="143" priority="121" operator="greaterThan">
      <formula>0</formula>
    </cfRule>
    <cfRule type="cellIs" dxfId="142" priority="122" operator="lessThan">
      <formula>0</formula>
    </cfRule>
    <cfRule type="cellIs" dxfId="141" priority="123" operator="greaterThan">
      <formula>0</formula>
    </cfRule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2:W122">
    <cfRule type="cellIs" dxfId="140" priority="117" operator="greaterThan">
      <formula>0</formula>
    </cfRule>
    <cfRule type="cellIs" dxfId="139" priority="118" operator="lessThan">
      <formula>0</formula>
    </cfRule>
    <cfRule type="cellIs" dxfId="138" priority="119" operator="greaterThan">
      <formula>0</formula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5:W132">
    <cfRule type="cellIs" dxfId="137" priority="113" operator="greaterThan">
      <formula>0</formula>
    </cfRule>
    <cfRule type="cellIs" dxfId="136" priority="114" operator="lessThan">
      <formula>0</formula>
    </cfRule>
    <cfRule type="cellIs" dxfId="135" priority="115" operator="greaterThan">
      <formula>0</formula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3:W133">
    <cfRule type="cellIs" dxfId="134" priority="109" operator="greaterThan">
      <formula>0</formula>
    </cfRule>
    <cfRule type="cellIs" dxfId="133" priority="110" operator="lessThan">
      <formula>0</formula>
    </cfRule>
    <cfRule type="cellIs" dxfId="132" priority="111" operator="greaterThan">
      <formula>0</formula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03:AI110">
    <cfRule type="cellIs" dxfId="131" priority="101" operator="greaterThan">
      <formula>0</formula>
    </cfRule>
    <cfRule type="cellIs" dxfId="130" priority="102" operator="lessThan">
      <formula>0</formula>
    </cfRule>
    <cfRule type="cellIs" dxfId="129" priority="103" operator="greaterThan">
      <formula>0</formula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1:AI111">
    <cfRule type="cellIs" dxfId="128" priority="97" operator="greaterThan">
      <formula>0</formula>
    </cfRule>
    <cfRule type="cellIs" dxfId="127" priority="98" operator="lessThan">
      <formula>0</formula>
    </cfRule>
    <cfRule type="cellIs" dxfId="126" priority="99" operator="greaterThan">
      <formula>0</formula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2">
    <cfRule type="cellIs" dxfId="125" priority="105" operator="greaterThan">
      <formula>0</formula>
    </cfRule>
    <cfRule type="cellIs" dxfId="124" priority="106" operator="lessThan">
      <formula>0</formula>
    </cfRule>
    <cfRule type="cellIs" dxfId="123" priority="107" operator="greaterThan">
      <formula>0</formula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14:AI121">
    <cfRule type="cellIs" dxfId="122" priority="93" operator="greaterThan">
      <formula>0</formula>
    </cfRule>
    <cfRule type="cellIs" dxfId="121" priority="94" operator="lessThan">
      <formula>0</formula>
    </cfRule>
    <cfRule type="cellIs" dxfId="120" priority="95" operator="greaterThan">
      <formula>0</formula>
    </cfRule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22:AI122">
    <cfRule type="cellIs" dxfId="119" priority="89" operator="greaterThan">
      <formula>0</formula>
    </cfRule>
    <cfRule type="cellIs" dxfId="118" priority="90" operator="lessThan">
      <formula>0</formula>
    </cfRule>
    <cfRule type="cellIs" dxfId="117" priority="91" operator="greaterThan">
      <formula>0</formula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25:AI132">
    <cfRule type="cellIs" dxfId="116" priority="85" operator="greaterThan">
      <formula>0</formula>
    </cfRule>
    <cfRule type="cellIs" dxfId="115" priority="86" operator="lessThan">
      <formula>0</formula>
    </cfRule>
    <cfRule type="cellIs" dxfId="114" priority="87" operator="greaterThan">
      <formula>0</formula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33:AI133">
    <cfRule type="cellIs" dxfId="113" priority="81" operator="greaterThan">
      <formula>0</formula>
    </cfRule>
    <cfRule type="cellIs" dxfId="112" priority="82" operator="lessThan">
      <formula>0</formula>
    </cfRule>
    <cfRule type="cellIs" dxfId="111" priority="83" operator="greaterThan">
      <formula>0</formula>
    </cfRule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03:AV110">
    <cfRule type="cellIs" dxfId="110" priority="73" operator="greaterThan">
      <formula>0</formula>
    </cfRule>
    <cfRule type="cellIs" dxfId="109" priority="74" operator="lessThan">
      <formula>0</formula>
    </cfRule>
    <cfRule type="cellIs" dxfId="108" priority="75" operator="greaterThan">
      <formula>0</formula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11:AV111">
    <cfRule type="cellIs" dxfId="107" priority="69" operator="greaterThan">
      <formula>0</formula>
    </cfRule>
    <cfRule type="cellIs" dxfId="106" priority="70" operator="lessThan">
      <formula>0</formula>
    </cfRule>
    <cfRule type="cellIs" dxfId="105" priority="71" operator="greaterThan">
      <formula>0</formula>
    </cfRule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12">
    <cfRule type="cellIs" dxfId="104" priority="77" operator="greaterThan">
      <formula>0</formula>
    </cfRule>
    <cfRule type="cellIs" dxfId="103" priority="78" operator="lessThan">
      <formula>0</formula>
    </cfRule>
    <cfRule type="cellIs" dxfId="102" priority="79" operator="greaterThan">
      <formula>0</formula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14:AV121">
    <cfRule type="cellIs" dxfId="101" priority="49" operator="greaterThan">
      <formula>0</formula>
    </cfRule>
    <cfRule type="cellIs" dxfId="100" priority="50" operator="lessThan">
      <formula>0</formula>
    </cfRule>
    <cfRule type="cellIs" dxfId="99" priority="51" operator="greaterThan">
      <formula>0</formula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22:AV122">
    <cfRule type="cellIs" dxfId="98" priority="45" operator="greaterThan">
      <formula>0</formula>
    </cfRule>
    <cfRule type="cellIs" dxfId="97" priority="46" operator="lessThan">
      <formula>0</formula>
    </cfRule>
    <cfRule type="cellIs" dxfId="96" priority="47" operator="greaterThan">
      <formula>0</formula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25:AV132">
    <cfRule type="cellIs" dxfId="95" priority="41" operator="greaterThan">
      <formula>0</formula>
    </cfRule>
    <cfRule type="cellIs" dxfId="94" priority="42" operator="lessThan">
      <formula>0</formula>
    </cfRule>
    <cfRule type="cellIs" dxfId="93" priority="43" operator="greaterThan">
      <formula>0</formula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33:AV133">
    <cfRule type="cellIs" dxfId="92" priority="37" operator="greaterThan">
      <formula>0</formula>
    </cfRule>
    <cfRule type="cellIs" dxfId="91" priority="38" operator="lessThan">
      <formula>0</formula>
    </cfRule>
    <cfRule type="cellIs" dxfId="90" priority="39" operator="greaterThan">
      <formula>0</formula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I73"/>
  <sheetViews>
    <sheetView zoomScaleNormal="100" workbookViewId="0">
      <selection activeCell="I22" sqref="I22:K22"/>
    </sheetView>
  </sheetViews>
  <sheetFormatPr defaultRowHeight="15"/>
  <cols>
    <col min="2" max="2" width="6.42578125" customWidth="1"/>
    <col min="3" max="3" width="7" customWidth="1"/>
  </cols>
  <sheetData>
    <row r="2" spans="1:35" ht="15.75" thickBot="1"/>
    <row r="3" spans="1:35">
      <c r="A3" s="133" t="s">
        <v>22</v>
      </c>
      <c r="B3" s="134"/>
      <c r="C3" s="134"/>
      <c r="D3" s="134"/>
      <c r="E3" s="134"/>
      <c r="F3" s="135"/>
    </row>
    <row r="4" spans="1:35">
      <c r="A4" s="9" t="s">
        <v>23</v>
      </c>
      <c r="B4" s="10" t="s">
        <v>24</v>
      </c>
      <c r="C4" s="10" t="s">
        <v>25</v>
      </c>
      <c r="D4" s="10" t="s">
        <v>3</v>
      </c>
      <c r="E4" s="10" t="s">
        <v>4</v>
      </c>
      <c r="F4" s="11" t="s">
        <v>5</v>
      </c>
    </row>
    <row r="5" spans="1:35" ht="30">
      <c r="A5" s="12">
        <v>6</v>
      </c>
      <c r="B5" s="13" t="s">
        <v>26</v>
      </c>
      <c r="C5" s="13" t="s">
        <v>26</v>
      </c>
      <c r="D5" s="14">
        <v>0.89</v>
      </c>
      <c r="E5" s="14">
        <v>0.54</v>
      </c>
      <c r="F5" s="15">
        <v>0.39</v>
      </c>
    </row>
    <row r="6" spans="1:35" ht="30">
      <c r="A6" s="12">
        <v>7</v>
      </c>
      <c r="B6" s="13" t="s">
        <v>26</v>
      </c>
      <c r="C6" s="13" t="s">
        <v>26</v>
      </c>
      <c r="D6" s="14">
        <v>0.84</v>
      </c>
      <c r="E6" s="14">
        <v>0.56000000000000005</v>
      </c>
      <c r="F6" s="15">
        <v>0.39</v>
      </c>
    </row>
    <row r="7" spans="1:35" ht="30">
      <c r="A7" s="12">
        <v>8</v>
      </c>
      <c r="B7" s="13" t="s">
        <v>26</v>
      </c>
      <c r="C7" s="13" t="s">
        <v>26</v>
      </c>
      <c r="D7" s="14">
        <v>0.87</v>
      </c>
      <c r="E7" s="14">
        <v>0.45</v>
      </c>
      <c r="F7" s="15">
        <v>0.3</v>
      </c>
    </row>
    <row r="8" spans="1:35" ht="30">
      <c r="A8" s="12">
        <v>9</v>
      </c>
      <c r="B8" s="13" t="s">
        <v>26</v>
      </c>
      <c r="C8" s="13" t="s">
        <v>26</v>
      </c>
      <c r="D8" s="14">
        <v>0.95</v>
      </c>
      <c r="E8" s="14">
        <v>0.28000000000000003</v>
      </c>
      <c r="F8" s="15">
        <v>0.19</v>
      </c>
    </row>
    <row r="9" spans="1:35" ht="30.75" thickBot="1">
      <c r="A9" s="16">
        <v>10</v>
      </c>
      <c r="B9" s="17" t="s">
        <v>26</v>
      </c>
      <c r="C9" s="17" t="s">
        <v>26</v>
      </c>
      <c r="D9" s="18">
        <v>0.95</v>
      </c>
      <c r="E9" s="18">
        <v>0.25</v>
      </c>
      <c r="F9" s="19">
        <v>0.17</v>
      </c>
    </row>
    <row r="10" spans="1:35" ht="15.75">
      <c r="A10" s="132" t="s">
        <v>27</v>
      </c>
      <c r="B10" s="132"/>
      <c r="C10" s="132"/>
      <c r="D10" s="20">
        <f>AVERAGE(D5:D9)</f>
        <v>0.9</v>
      </c>
      <c r="E10" s="20">
        <f t="shared" ref="E10:F10" si="0">AVERAGE(E5:E9)</f>
        <v>0.41600000000000004</v>
      </c>
      <c r="F10" s="20">
        <f t="shared" si="0"/>
        <v>0.28799999999999998</v>
      </c>
    </row>
    <row r="12" spans="1:35">
      <c r="A12" s="136" t="s">
        <v>53</v>
      </c>
      <c r="B12" s="136"/>
      <c r="C12" s="136"/>
      <c r="D12" s="136"/>
      <c r="E12" s="136"/>
      <c r="F12" s="136"/>
      <c r="M12" s="137" t="s">
        <v>54</v>
      </c>
      <c r="N12" s="137"/>
      <c r="O12" s="137"/>
      <c r="P12" s="137"/>
      <c r="Q12" s="137"/>
      <c r="R12" s="137"/>
      <c r="Y12" s="138" t="s">
        <v>55</v>
      </c>
      <c r="Z12" s="138"/>
      <c r="AA12" s="138"/>
      <c r="AB12" s="138"/>
      <c r="AC12" s="138"/>
      <c r="AD12" s="138"/>
      <c r="AE12" s="47"/>
      <c r="AF12" s="47"/>
      <c r="AG12" s="47"/>
      <c r="AH12" s="47"/>
      <c r="AI12" s="47"/>
    </row>
    <row r="13" spans="1:35">
      <c r="A13" s="136"/>
      <c r="B13" s="136"/>
      <c r="C13" s="136"/>
      <c r="D13" s="136"/>
      <c r="E13" s="136"/>
      <c r="F13" s="136"/>
      <c r="H13" s="21"/>
      <c r="M13" s="137"/>
      <c r="N13" s="137"/>
      <c r="O13" s="137"/>
      <c r="P13" s="137"/>
      <c r="Q13" s="137"/>
      <c r="R13" s="137"/>
      <c r="Y13" s="138"/>
      <c r="Z13" s="138"/>
      <c r="AA13" s="138"/>
      <c r="AB13" s="138"/>
      <c r="AC13" s="138"/>
      <c r="AD13" s="138"/>
      <c r="AE13" s="47"/>
      <c r="AF13" s="47"/>
      <c r="AG13" s="47"/>
      <c r="AH13" s="47"/>
      <c r="AI13" s="47"/>
    </row>
    <row r="14" spans="1:35" ht="15.75" thickBot="1">
      <c r="H14" s="21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</row>
    <row r="15" spans="1:35" ht="15.75">
      <c r="A15" s="128" t="s">
        <v>32</v>
      </c>
      <c r="B15" s="129"/>
      <c r="C15" s="129"/>
      <c r="D15" s="129"/>
      <c r="E15" s="129"/>
      <c r="F15" s="130"/>
      <c r="H15" s="20"/>
      <c r="I15" s="131" t="s">
        <v>29</v>
      </c>
      <c r="J15" s="131"/>
      <c r="K15" s="131"/>
      <c r="M15" s="128" t="s">
        <v>32</v>
      </c>
      <c r="N15" s="129"/>
      <c r="O15" s="129"/>
      <c r="P15" s="129"/>
      <c r="Q15" s="129"/>
      <c r="R15" s="130"/>
      <c r="S15" s="47"/>
      <c r="T15" s="20"/>
      <c r="U15" s="131" t="s">
        <v>29</v>
      </c>
      <c r="V15" s="131"/>
      <c r="W15" s="131"/>
      <c r="Y15" s="128" t="s">
        <v>32</v>
      </c>
      <c r="Z15" s="129"/>
      <c r="AA15" s="129"/>
      <c r="AB15" s="129"/>
      <c r="AC15" s="129"/>
      <c r="AD15" s="130"/>
      <c r="AE15" s="47"/>
      <c r="AF15" s="20"/>
      <c r="AG15" s="131" t="s">
        <v>29</v>
      </c>
      <c r="AH15" s="131"/>
      <c r="AI15" s="131"/>
    </row>
    <row r="16" spans="1:35">
      <c r="A16" s="9" t="s">
        <v>30</v>
      </c>
      <c r="B16" s="10" t="s">
        <v>31</v>
      </c>
      <c r="C16" s="10" t="s">
        <v>2</v>
      </c>
      <c r="D16" s="10" t="s">
        <v>3</v>
      </c>
      <c r="E16" s="10" t="s">
        <v>4</v>
      </c>
      <c r="F16" s="11" t="s">
        <v>5</v>
      </c>
      <c r="I16" s="10" t="s">
        <v>3</v>
      </c>
      <c r="J16" s="10" t="s">
        <v>4</v>
      </c>
      <c r="K16" s="11" t="s">
        <v>5</v>
      </c>
      <c r="M16" s="9" t="s">
        <v>30</v>
      </c>
      <c r="N16" s="10" t="s">
        <v>31</v>
      </c>
      <c r="O16" s="10" t="s">
        <v>2</v>
      </c>
      <c r="P16" s="10" t="s">
        <v>3</v>
      </c>
      <c r="Q16" s="10" t="s">
        <v>4</v>
      </c>
      <c r="R16" s="11" t="s">
        <v>5</v>
      </c>
      <c r="S16" s="47"/>
      <c r="T16" s="47"/>
      <c r="U16" s="10" t="s">
        <v>3</v>
      </c>
      <c r="V16" s="10" t="s">
        <v>4</v>
      </c>
      <c r="W16" s="11" t="s">
        <v>5</v>
      </c>
      <c r="Y16" s="9" t="s">
        <v>30</v>
      </c>
      <c r="Z16" s="10" t="s">
        <v>31</v>
      </c>
      <c r="AA16" s="10" t="s">
        <v>2</v>
      </c>
      <c r="AB16" s="10" t="s">
        <v>3</v>
      </c>
      <c r="AC16" s="10" t="s">
        <v>4</v>
      </c>
      <c r="AD16" s="11" t="s">
        <v>5</v>
      </c>
      <c r="AE16" s="47"/>
      <c r="AF16" s="47"/>
      <c r="AG16" s="10" t="s">
        <v>3</v>
      </c>
      <c r="AH16" s="10" t="s">
        <v>4</v>
      </c>
      <c r="AI16" s="11" t="s">
        <v>5</v>
      </c>
    </row>
    <row r="17" spans="1:35">
      <c r="A17" s="12">
        <v>6</v>
      </c>
      <c r="B17" s="13">
        <v>1129</v>
      </c>
      <c r="C17" s="13">
        <v>1076</v>
      </c>
      <c r="D17" s="14">
        <v>0.92183730006217957</v>
      </c>
      <c r="E17" s="14">
        <v>0.43477225303649902</v>
      </c>
      <c r="F17" s="15">
        <v>0.31593386828899378</v>
      </c>
      <c r="I17" s="22">
        <f>D17-D5</f>
        <v>3.1837300062179552E-2</v>
      </c>
      <c r="J17" s="22">
        <f t="shared" ref="J17:K21" si="1">E5-E17</f>
        <v>0.10522774696350101</v>
      </c>
      <c r="K17" s="22">
        <f t="shared" si="1"/>
        <v>7.4066131711006233E-2</v>
      </c>
      <c r="M17" s="12">
        <v>6</v>
      </c>
      <c r="N17" s="13">
        <v>1006</v>
      </c>
      <c r="O17" s="13">
        <v>981</v>
      </c>
      <c r="P17" s="14">
        <v>0.5861017107963562</v>
      </c>
      <c r="Q17" s="14">
        <v>0.59600263833999634</v>
      </c>
      <c r="R17" s="15">
        <v>0.41458845138549799</v>
      </c>
      <c r="S17" s="47"/>
      <c r="T17" s="47"/>
      <c r="U17" s="22">
        <f>P17-D5</f>
        <v>-0.30389828920364381</v>
      </c>
      <c r="V17" s="22">
        <f>E5-Q17</f>
        <v>-5.6002638339996302E-2</v>
      </c>
      <c r="W17" s="22">
        <f>F5-R17</f>
        <v>-2.4588451385497978E-2</v>
      </c>
      <c r="Y17" s="12">
        <v>6</v>
      </c>
      <c r="Z17" s="13">
        <v>1119</v>
      </c>
      <c r="AA17" s="13">
        <v>1030</v>
      </c>
      <c r="AB17" s="14">
        <v>0.46177563071250921</v>
      </c>
      <c r="AC17" s="14">
        <v>0.51493680477142334</v>
      </c>
      <c r="AD17" s="15">
        <v>0.35902319848537451</v>
      </c>
      <c r="AE17" s="47"/>
      <c r="AF17" s="47"/>
      <c r="AG17" s="22">
        <f>AB17-D5</f>
        <v>-0.4282243692874908</v>
      </c>
      <c r="AH17" s="22">
        <f>E5-AC17</f>
        <v>2.5063195228576696E-2</v>
      </c>
      <c r="AI17" s="22">
        <f>F5-AD17</f>
        <v>3.0976801514625507E-2</v>
      </c>
    </row>
    <row r="18" spans="1:35">
      <c r="A18" s="12">
        <v>7</v>
      </c>
      <c r="B18" s="13">
        <v>1199</v>
      </c>
      <c r="C18" s="13">
        <v>1143</v>
      </c>
      <c r="D18" s="14">
        <v>0.81612628698348999</v>
      </c>
      <c r="E18" s="14">
        <v>0.63938474655151367</v>
      </c>
      <c r="F18" s="15">
        <v>0.44127660989761353</v>
      </c>
      <c r="I18" s="22">
        <f>D18-D6</f>
        <v>-2.3873713016509979E-2</v>
      </c>
      <c r="J18" s="22">
        <f t="shared" si="1"/>
        <v>-7.9384746551513619E-2</v>
      </c>
      <c r="K18" s="22">
        <f t="shared" si="1"/>
        <v>-5.1276609897613512E-2</v>
      </c>
      <c r="M18" s="12">
        <v>7</v>
      </c>
      <c r="N18" s="13">
        <v>1017</v>
      </c>
      <c r="O18" s="13">
        <v>982</v>
      </c>
      <c r="P18" s="14">
        <v>0.47624790668487549</v>
      </c>
      <c r="Q18" s="14">
        <v>0.57294809818267822</v>
      </c>
      <c r="R18" s="15">
        <v>0.41226133704185491</v>
      </c>
      <c r="S18" s="47"/>
      <c r="T18" s="47"/>
      <c r="U18" s="22">
        <f t="shared" ref="U18:U21" si="2">P18-D6</f>
        <v>-0.36375209331512448</v>
      </c>
      <c r="V18" s="22">
        <f t="shared" ref="V18:V21" si="3">E6-Q18</f>
        <v>-1.2948098182678169E-2</v>
      </c>
      <c r="W18" s="22">
        <f t="shared" ref="W18:W21" si="4">F6-R18</f>
        <v>-2.2261337041854901E-2</v>
      </c>
      <c r="Y18" s="12">
        <v>7</v>
      </c>
      <c r="Z18" s="13">
        <v>1218</v>
      </c>
      <c r="AA18" s="13">
        <v>1112</v>
      </c>
      <c r="AB18" s="14">
        <v>0.74640044569969177</v>
      </c>
      <c r="AC18" s="14">
        <v>0.3922736644744873</v>
      </c>
      <c r="AD18" s="15">
        <v>0.25765730440616608</v>
      </c>
      <c r="AE18" s="47"/>
      <c r="AF18" s="47"/>
      <c r="AG18" s="22">
        <f t="shared" ref="AG18:AG21" si="5">AB18-D6</f>
        <v>-9.3599554300308196E-2</v>
      </c>
      <c r="AH18" s="22">
        <f t="shared" ref="AH18:AI21" si="6">E6-AC18</f>
        <v>0.16772633552551275</v>
      </c>
      <c r="AI18" s="22">
        <f t="shared" si="6"/>
        <v>0.13234269559383394</v>
      </c>
    </row>
    <row r="19" spans="1:35">
      <c r="A19" s="12">
        <v>8</v>
      </c>
      <c r="B19" s="13">
        <v>1199</v>
      </c>
      <c r="C19" s="13">
        <v>1143</v>
      </c>
      <c r="D19" s="14">
        <v>0.89589971303939819</v>
      </c>
      <c r="E19" s="14">
        <v>0.41984811425209051</v>
      </c>
      <c r="F19" s="15">
        <v>0.27991829812526697</v>
      </c>
      <c r="I19" s="22">
        <f>D19-D7</f>
        <v>2.5899713039398198E-2</v>
      </c>
      <c r="J19" s="22">
        <f t="shared" si="1"/>
        <v>3.0151885747909501E-2</v>
      </c>
      <c r="K19" s="22">
        <f t="shared" si="1"/>
        <v>2.0081701874733016E-2</v>
      </c>
      <c r="M19" s="12">
        <v>8</v>
      </c>
      <c r="N19" s="13">
        <v>1017</v>
      </c>
      <c r="O19" s="13">
        <v>982</v>
      </c>
      <c r="P19" s="14">
        <v>0.42811107635498052</v>
      </c>
      <c r="Q19" s="14">
        <v>0.53501558303833008</v>
      </c>
      <c r="R19" s="15">
        <v>0.43200740218162542</v>
      </c>
      <c r="S19" s="47"/>
      <c r="T19" s="47"/>
      <c r="U19" s="22">
        <f t="shared" si="2"/>
        <v>-0.44188892364501947</v>
      </c>
      <c r="V19" s="22">
        <f t="shared" si="3"/>
        <v>-8.5015583038330067E-2</v>
      </c>
      <c r="W19" s="22">
        <f t="shared" si="4"/>
        <v>-0.13200740218162543</v>
      </c>
      <c r="Y19" s="12">
        <v>8</v>
      </c>
      <c r="Z19" s="13">
        <v>1215</v>
      </c>
      <c r="AA19" s="13">
        <v>1116</v>
      </c>
      <c r="AB19" s="14">
        <v>0.58000636100769043</v>
      </c>
      <c r="AC19" s="14">
        <v>0.32656282186508179</v>
      </c>
      <c r="AD19" s="15">
        <v>0.18614183366298681</v>
      </c>
      <c r="AE19" s="47"/>
      <c r="AF19" s="47"/>
      <c r="AG19" s="22">
        <f t="shared" si="5"/>
        <v>-0.28999363899230957</v>
      </c>
      <c r="AH19" s="22">
        <f t="shared" si="6"/>
        <v>0.12343717813491822</v>
      </c>
      <c r="AI19" s="22">
        <f t="shared" si="6"/>
        <v>0.11385816633701318</v>
      </c>
    </row>
    <row r="20" spans="1:35">
      <c r="A20" s="12">
        <v>9</v>
      </c>
      <c r="B20" s="13">
        <v>1198</v>
      </c>
      <c r="C20" s="13">
        <v>1133</v>
      </c>
      <c r="D20" s="14">
        <v>0.93302705883979797</v>
      </c>
      <c r="E20" s="14">
        <v>0.30491116642951971</v>
      </c>
      <c r="F20" s="15">
        <v>0.19281737506389621</v>
      </c>
      <c r="I20" s="22">
        <f>D20-D8</f>
        <v>-1.6972941160201982E-2</v>
      </c>
      <c r="J20" s="22">
        <f t="shared" si="1"/>
        <v>-2.4911166429519682E-2</v>
      </c>
      <c r="K20" s="22">
        <f t="shared" si="1"/>
        <v>-2.8173750638962047E-3</v>
      </c>
      <c r="M20" s="12">
        <v>9</v>
      </c>
      <c r="N20" s="13">
        <v>1017</v>
      </c>
      <c r="O20" s="13">
        <v>976</v>
      </c>
      <c r="P20" s="14">
        <v>0.66086602210998535</v>
      </c>
      <c r="Q20" s="14">
        <v>0.37465402483940119</v>
      </c>
      <c r="R20" s="15">
        <v>0.2576129138469696</v>
      </c>
      <c r="S20" s="47"/>
      <c r="T20" s="47"/>
      <c r="U20" s="22">
        <f t="shared" si="2"/>
        <v>-0.2891339778900146</v>
      </c>
      <c r="V20" s="22">
        <f t="shared" si="3"/>
        <v>-9.4654024839401163E-2</v>
      </c>
      <c r="W20" s="22">
        <f t="shared" si="4"/>
        <v>-6.7612913846969602E-2</v>
      </c>
      <c r="Y20" s="12">
        <v>9</v>
      </c>
      <c r="Z20" s="13">
        <v>1214</v>
      </c>
      <c r="AA20" s="13">
        <v>1108</v>
      </c>
      <c r="AB20" s="14">
        <v>0.3396819531917572</v>
      </c>
      <c r="AC20" s="14">
        <v>0.30596637725830078</v>
      </c>
      <c r="AD20" s="15">
        <v>0.15848285704851151</v>
      </c>
      <c r="AE20" s="47"/>
      <c r="AF20" s="47"/>
      <c r="AG20" s="22">
        <f t="shared" si="5"/>
        <v>-0.61031804680824275</v>
      </c>
      <c r="AH20" s="22">
        <f t="shared" si="6"/>
        <v>-2.5966377258300755E-2</v>
      </c>
      <c r="AI20" s="22">
        <f t="shared" si="6"/>
        <v>3.1517142951488497E-2</v>
      </c>
    </row>
    <row r="21" spans="1:35" ht="15.75" thickBot="1">
      <c r="A21" s="16">
        <v>10</v>
      </c>
      <c r="B21" s="17">
        <v>1197</v>
      </c>
      <c r="C21" s="17">
        <v>1094</v>
      </c>
      <c r="D21" s="18">
        <v>0.94233843684196472</v>
      </c>
      <c r="E21" s="18">
        <v>0.26407310366630549</v>
      </c>
      <c r="F21" s="19">
        <v>0.15660859644412989</v>
      </c>
      <c r="I21" s="22">
        <f>D21-D9</f>
        <v>-7.6615631580352339E-3</v>
      </c>
      <c r="J21" s="22">
        <f t="shared" si="1"/>
        <v>-1.4073103666305486E-2</v>
      </c>
      <c r="K21" s="22">
        <f t="shared" si="1"/>
        <v>1.3391403555870124E-2</v>
      </c>
      <c r="M21" s="16">
        <v>10</v>
      </c>
      <c r="N21" s="17">
        <v>1016</v>
      </c>
      <c r="O21" s="17">
        <v>955</v>
      </c>
      <c r="P21" s="18">
        <v>0.81524145603179932</v>
      </c>
      <c r="Q21" s="18">
        <v>0.26230621337890619</v>
      </c>
      <c r="R21" s="19">
        <v>0.16342219710350039</v>
      </c>
      <c r="S21" s="47"/>
      <c r="T21" s="47"/>
      <c r="U21" s="22">
        <f t="shared" si="2"/>
        <v>-0.13475854396820064</v>
      </c>
      <c r="V21" s="22">
        <f t="shared" si="3"/>
        <v>-1.2306213378906194E-2</v>
      </c>
      <c r="W21" s="22">
        <f t="shared" si="4"/>
        <v>6.5778028964996182E-3</v>
      </c>
      <c r="Y21" s="16">
        <v>10</v>
      </c>
      <c r="Z21" s="17">
        <v>1212</v>
      </c>
      <c r="AA21" s="17">
        <v>1087</v>
      </c>
      <c r="AB21" s="18">
        <v>0.21093383431434631</v>
      </c>
      <c r="AC21" s="18">
        <v>0.26710915565490723</v>
      </c>
      <c r="AD21" s="19">
        <v>0.14970310777425769</v>
      </c>
      <c r="AE21" s="47"/>
      <c r="AF21" s="47"/>
      <c r="AG21" s="22">
        <f t="shared" si="5"/>
        <v>-0.73906616568565364</v>
      </c>
      <c r="AH21" s="22">
        <f t="shared" si="6"/>
        <v>-1.7109155654907227E-2</v>
      </c>
      <c r="AI21" s="22">
        <f t="shared" si="6"/>
        <v>2.0296892225742325E-2</v>
      </c>
    </row>
    <row r="22" spans="1:35" ht="15.75" customHeight="1" thickBot="1">
      <c r="A22" s="132" t="s">
        <v>27</v>
      </c>
      <c r="B22" s="132"/>
      <c r="C22" s="132"/>
      <c r="D22" s="20">
        <f>AVERAGE(D17:D21)</f>
        <v>0.90184575915336607</v>
      </c>
      <c r="E22" s="20">
        <f t="shared" ref="E22:F22" si="7">AVERAGE(E17:E21)</f>
        <v>0.41259787678718568</v>
      </c>
      <c r="F22" s="20">
        <f t="shared" si="7"/>
        <v>0.27731094956398011</v>
      </c>
      <c r="H22" s="6" t="s">
        <v>19</v>
      </c>
      <c r="I22" s="23">
        <f>SUM(I17:I21)</f>
        <v>9.2287957668305554E-3</v>
      </c>
      <c r="J22" s="23">
        <f t="shared" ref="J22:K22" si="8">SUM(J17:J21)</f>
        <v>1.7010616064071726E-2</v>
      </c>
      <c r="K22" s="23">
        <f t="shared" si="8"/>
        <v>5.3445252180099656E-2</v>
      </c>
      <c r="M22" s="132" t="s">
        <v>27</v>
      </c>
      <c r="N22" s="132"/>
      <c r="O22" s="132"/>
      <c r="P22" s="20">
        <f>AVERAGE(P17:P21)</f>
        <v>0.59331363439559937</v>
      </c>
      <c r="Q22" s="20">
        <f t="shared" ref="Q22:R22" si="9">AVERAGE(Q17:Q21)</f>
        <v>0.4681853115558624</v>
      </c>
      <c r="R22" s="20">
        <f t="shared" si="9"/>
        <v>0.33597846031188966</v>
      </c>
      <c r="S22" s="47"/>
      <c r="T22" s="6" t="s">
        <v>19</v>
      </c>
      <c r="U22" s="23">
        <f>SUM(U17:U21)</f>
        <v>-1.533431828022003</v>
      </c>
      <c r="V22" s="23">
        <f t="shared" ref="V22:W22" si="10">SUM(V17:V21)</f>
        <v>-0.2609265577793119</v>
      </c>
      <c r="W22" s="23">
        <f t="shared" si="10"/>
        <v>-0.2398923015594483</v>
      </c>
      <c r="Y22" s="132" t="s">
        <v>27</v>
      </c>
      <c r="Z22" s="132"/>
      <c r="AA22" s="132"/>
      <c r="AB22" s="20">
        <f>AVERAGE(AB17:AB21)</f>
        <v>0.46775964498519895</v>
      </c>
      <c r="AC22" s="20">
        <f t="shared" ref="AC22:AD22" si="11">AVERAGE(AC17:AC21)</f>
        <v>0.36136976480484007</v>
      </c>
      <c r="AD22" s="20">
        <f t="shared" si="11"/>
        <v>0.22220166027545929</v>
      </c>
      <c r="AE22" s="47"/>
      <c r="AF22" s="6" t="s">
        <v>19</v>
      </c>
      <c r="AG22" s="23">
        <f>SUM(AG17:AG21)</f>
        <v>-2.1612017750740051</v>
      </c>
      <c r="AH22" s="23">
        <f t="shared" ref="AH22:AI22" si="12">SUM(AH17:AH21)</f>
        <v>0.27315117597579969</v>
      </c>
      <c r="AI22" s="23">
        <f t="shared" si="12"/>
        <v>0.32899169862270344</v>
      </c>
    </row>
    <row r="23" spans="1:35" ht="15.75" thickBot="1"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</row>
    <row r="24" spans="1:35" ht="15.75">
      <c r="A24" s="128" t="s">
        <v>28</v>
      </c>
      <c r="B24" s="129"/>
      <c r="C24" s="129"/>
      <c r="D24" s="129"/>
      <c r="E24" s="129"/>
      <c r="F24" s="130"/>
      <c r="H24" s="20"/>
      <c r="I24" s="131" t="s">
        <v>29</v>
      </c>
      <c r="J24" s="131"/>
      <c r="K24" s="131"/>
      <c r="M24" s="128" t="s">
        <v>28</v>
      </c>
      <c r="N24" s="129"/>
      <c r="O24" s="129"/>
      <c r="P24" s="129"/>
      <c r="Q24" s="129"/>
      <c r="R24" s="130"/>
      <c r="S24" s="47"/>
      <c r="T24" s="20"/>
      <c r="U24" s="131" t="s">
        <v>29</v>
      </c>
      <c r="V24" s="131"/>
      <c r="W24" s="131"/>
      <c r="Y24" s="128" t="s">
        <v>28</v>
      </c>
      <c r="Z24" s="129"/>
      <c r="AA24" s="129"/>
      <c r="AB24" s="129"/>
      <c r="AC24" s="129"/>
      <c r="AD24" s="130"/>
      <c r="AE24" s="47"/>
      <c r="AF24" s="20"/>
      <c r="AG24" s="131" t="s">
        <v>29</v>
      </c>
      <c r="AH24" s="131"/>
      <c r="AI24" s="131"/>
    </row>
    <row r="25" spans="1:35">
      <c r="A25" s="9" t="s">
        <v>30</v>
      </c>
      <c r="B25" s="10" t="s">
        <v>31</v>
      </c>
      <c r="C25" s="10" t="s">
        <v>2</v>
      </c>
      <c r="D25" s="10" t="s">
        <v>3</v>
      </c>
      <c r="E25" s="10" t="s">
        <v>4</v>
      </c>
      <c r="F25" s="11" t="s">
        <v>5</v>
      </c>
      <c r="G25" s="47"/>
      <c r="H25" s="47"/>
      <c r="I25" s="10" t="s">
        <v>3</v>
      </c>
      <c r="J25" s="10" t="s">
        <v>4</v>
      </c>
      <c r="K25" s="11" t="s">
        <v>5</v>
      </c>
      <c r="M25" s="9" t="s">
        <v>30</v>
      </c>
      <c r="N25" s="10" t="s">
        <v>31</v>
      </c>
      <c r="O25" s="10" t="s">
        <v>2</v>
      </c>
      <c r="P25" s="10" t="s">
        <v>3</v>
      </c>
      <c r="Q25" s="10" t="s">
        <v>4</v>
      </c>
      <c r="R25" s="11" t="s">
        <v>5</v>
      </c>
      <c r="S25" s="47"/>
      <c r="T25" s="47"/>
      <c r="U25" s="10" t="s">
        <v>3</v>
      </c>
      <c r="V25" s="10" t="s">
        <v>4</v>
      </c>
      <c r="W25" s="11" t="s">
        <v>5</v>
      </c>
      <c r="Y25" s="9" t="s">
        <v>30</v>
      </c>
      <c r="Z25" s="10" t="s">
        <v>31</v>
      </c>
      <c r="AA25" s="10" t="s">
        <v>2</v>
      </c>
      <c r="AB25" s="10" t="s">
        <v>3</v>
      </c>
      <c r="AC25" s="10" t="s">
        <v>4</v>
      </c>
      <c r="AD25" s="11" t="s">
        <v>5</v>
      </c>
      <c r="AE25" s="47"/>
      <c r="AF25" s="47"/>
      <c r="AG25" s="10" t="s">
        <v>3</v>
      </c>
      <c r="AH25" s="10" t="s">
        <v>4</v>
      </c>
      <c r="AI25" s="11" t="s">
        <v>5</v>
      </c>
    </row>
    <row r="26" spans="1:35">
      <c r="A26" s="12">
        <v>6</v>
      </c>
      <c r="B26" s="13">
        <v>1129</v>
      </c>
      <c r="C26" s="13">
        <v>1038</v>
      </c>
      <c r="D26" s="14">
        <v>0.77637961506843567</v>
      </c>
      <c r="E26" s="14">
        <v>0.32212251424789429</v>
      </c>
      <c r="F26" s="15">
        <v>0.21743908524513239</v>
      </c>
      <c r="G26" s="47"/>
      <c r="H26" s="47"/>
      <c r="I26" s="22">
        <f>D26-D5</f>
        <v>-0.11362038493156434</v>
      </c>
      <c r="J26" s="22">
        <f>E5-E26</f>
        <v>0.21787748575210575</v>
      </c>
      <c r="K26" s="22">
        <f>F5-F26</f>
        <v>0.17256091475486762</v>
      </c>
      <c r="M26" s="12">
        <v>6</v>
      </c>
      <c r="N26" s="13">
        <v>1006</v>
      </c>
      <c r="O26" s="13">
        <v>951</v>
      </c>
      <c r="P26" s="14">
        <v>0.70769572257995605</v>
      </c>
      <c r="Q26" s="14">
        <v>0.47970369458198547</v>
      </c>
      <c r="R26" s="15">
        <v>0.3187633752822876</v>
      </c>
      <c r="S26" s="47"/>
      <c r="T26" s="47"/>
      <c r="U26" s="22">
        <f>P26-D5</f>
        <v>-0.18230427742004396</v>
      </c>
      <c r="V26" s="22">
        <f>E5-Q26</f>
        <v>6.0296305418014562E-2</v>
      </c>
      <c r="W26" s="22">
        <f>F5-R26</f>
        <v>7.1236624717712416E-2</v>
      </c>
      <c r="Y26" s="12">
        <v>6</v>
      </c>
      <c r="Z26" s="13">
        <v>1119</v>
      </c>
      <c r="AA26" s="13">
        <v>994</v>
      </c>
      <c r="AB26" s="14">
        <v>0.54186111688613892</v>
      </c>
      <c r="AC26" s="14">
        <v>0.82948988676071167</v>
      </c>
      <c r="AD26" s="15">
        <v>0.65648543834686279</v>
      </c>
      <c r="AE26" s="47"/>
      <c r="AF26" s="47"/>
      <c r="AG26" s="22">
        <f>AB26-D5</f>
        <v>-0.3481388831138611</v>
      </c>
      <c r="AH26" s="22">
        <f>E5-AC26</f>
        <v>-0.28948988676071163</v>
      </c>
      <c r="AI26" s="22">
        <f>F5-AD26</f>
        <v>-0.26648543834686278</v>
      </c>
    </row>
    <row r="27" spans="1:35">
      <c r="A27" s="12">
        <v>7</v>
      </c>
      <c r="B27" s="13">
        <v>1199</v>
      </c>
      <c r="C27" s="13">
        <v>1084</v>
      </c>
      <c r="D27" s="14">
        <v>0.88254308700561523</v>
      </c>
      <c r="E27" s="14">
        <v>0.30379283428192139</v>
      </c>
      <c r="F27" s="15">
        <v>0.19022152572870249</v>
      </c>
      <c r="G27" s="47"/>
      <c r="H27" s="47"/>
      <c r="I27" s="22">
        <f t="shared" ref="I27:I30" si="13">D27-D6</f>
        <v>4.2543087005615265E-2</v>
      </c>
      <c r="J27" s="22">
        <f t="shared" ref="J27:K30" si="14">E6-E27</f>
        <v>0.25620716571807867</v>
      </c>
      <c r="K27" s="22">
        <f t="shared" si="14"/>
        <v>0.19977847427129752</v>
      </c>
      <c r="M27" s="12">
        <v>7</v>
      </c>
      <c r="N27" s="13">
        <v>1017</v>
      </c>
      <c r="O27" s="13">
        <v>951</v>
      </c>
      <c r="P27" s="14">
        <v>-0.21676111221313479</v>
      </c>
      <c r="Q27" s="14">
        <v>0.90749090909957886</v>
      </c>
      <c r="R27" s="15">
        <v>0.80678451061248779</v>
      </c>
      <c r="S27" s="47"/>
      <c r="T27" s="47"/>
      <c r="U27" s="22">
        <f t="shared" ref="U27:U30" si="15">P27-D6</f>
        <v>-1.0567611122131348</v>
      </c>
      <c r="V27" s="22">
        <f t="shared" ref="V27:W30" si="16">E6-Q27</f>
        <v>-0.3474909090995788</v>
      </c>
      <c r="W27" s="22">
        <f t="shared" si="16"/>
        <v>-0.41678451061248778</v>
      </c>
      <c r="Y27" s="12">
        <v>7</v>
      </c>
      <c r="Z27" s="13">
        <v>1218</v>
      </c>
      <c r="AA27" s="13">
        <v>1059</v>
      </c>
      <c r="AB27" s="14">
        <v>0.65938916802406311</v>
      </c>
      <c r="AC27" s="14">
        <v>0.55993521213531494</v>
      </c>
      <c r="AD27" s="15">
        <v>0.3976418673992157</v>
      </c>
      <c r="AE27" s="47"/>
      <c r="AF27" s="47"/>
      <c r="AG27" s="22">
        <f t="shared" ref="AG27:AG30" si="17">AB27-D6</f>
        <v>-0.18061083197593686</v>
      </c>
      <c r="AH27" s="22">
        <f t="shared" ref="AH27:AH30" si="18">E6-AC27</f>
        <v>6.4787864685111884E-5</v>
      </c>
      <c r="AI27" s="22">
        <f t="shared" ref="AI27:AI30" si="19">F6-AD27</f>
        <v>-7.6418673992156849E-3</v>
      </c>
    </row>
    <row r="28" spans="1:35">
      <c r="A28" s="12">
        <v>8</v>
      </c>
      <c r="B28" s="13">
        <v>1199</v>
      </c>
      <c r="C28" s="13">
        <v>1081</v>
      </c>
      <c r="D28" s="14">
        <v>0.93550321459770203</v>
      </c>
      <c r="E28" s="14">
        <v>0.24300709366798401</v>
      </c>
      <c r="F28" s="15">
        <v>0.14032946527004239</v>
      </c>
      <c r="G28" s="47"/>
      <c r="H28" s="47"/>
      <c r="I28" s="22">
        <f t="shared" si="13"/>
        <v>6.5503214597702031E-2</v>
      </c>
      <c r="J28" s="22">
        <f t="shared" si="14"/>
        <v>0.206992906332016</v>
      </c>
      <c r="K28" s="22">
        <f t="shared" si="14"/>
        <v>0.1596705347299576</v>
      </c>
      <c r="M28" s="12">
        <v>8</v>
      </c>
      <c r="N28" s="13">
        <v>1017</v>
      </c>
      <c r="O28" s="13">
        <v>949</v>
      </c>
      <c r="P28" s="14">
        <v>6.2590479850769043E-2</v>
      </c>
      <c r="Q28" s="14">
        <v>0.73159927129745483</v>
      </c>
      <c r="R28" s="15">
        <v>0.59255874156951904</v>
      </c>
      <c r="S28" s="47"/>
      <c r="T28" s="47"/>
      <c r="U28" s="22">
        <f t="shared" si="15"/>
        <v>-0.80740952014923095</v>
      </c>
      <c r="V28" s="22">
        <f t="shared" si="16"/>
        <v>-0.28159927129745482</v>
      </c>
      <c r="W28" s="22">
        <f t="shared" si="16"/>
        <v>-0.29255874156951905</v>
      </c>
      <c r="Y28" s="12">
        <v>8</v>
      </c>
      <c r="Z28" s="13">
        <v>1215</v>
      </c>
      <c r="AA28" s="13">
        <v>1058</v>
      </c>
      <c r="AB28" s="14">
        <v>0.61403641104698181</v>
      </c>
      <c r="AC28" s="14">
        <v>0.39518338441848749</v>
      </c>
      <c r="AD28" s="15">
        <v>0.28577639162540441</v>
      </c>
      <c r="AE28" s="47"/>
      <c r="AF28" s="47"/>
      <c r="AG28" s="22">
        <f t="shared" si="17"/>
        <v>-0.25596358895301818</v>
      </c>
      <c r="AH28" s="22">
        <f t="shared" si="18"/>
        <v>5.4816615581512518E-2</v>
      </c>
      <c r="AI28" s="22">
        <f t="shared" si="19"/>
        <v>1.4223608374595575E-2</v>
      </c>
    </row>
    <row r="29" spans="1:35">
      <c r="A29" s="12">
        <v>9</v>
      </c>
      <c r="B29" s="13">
        <v>1198</v>
      </c>
      <c r="C29" s="13">
        <v>1088</v>
      </c>
      <c r="D29" s="14">
        <v>0.94585570693016052</v>
      </c>
      <c r="E29" s="14">
        <v>0.23722623288631439</v>
      </c>
      <c r="F29" s="15">
        <v>0.13851055502891541</v>
      </c>
      <c r="G29" s="47"/>
      <c r="H29" s="47"/>
      <c r="I29" s="22">
        <f t="shared" si="13"/>
        <v>-4.1442930698394331E-3</v>
      </c>
      <c r="J29" s="22">
        <f t="shared" si="14"/>
        <v>4.2773767113685635E-2</v>
      </c>
      <c r="K29" s="22">
        <f t="shared" si="14"/>
        <v>5.1489444971084597E-2</v>
      </c>
      <c r="M29" s="12">
        <v>9</v>
      </c>
      <c r="N29" s="13">
        <v>1017</v>
      </c>
      <c r="O29" s="13">
        <v>943</v>
      </c>
      <c r="P29" s="14">
        <v>5.072706937789917E-2</v>
      </c>
      <c r="Q29" s="14">
        <v>0.67439836263656616</v>
      </c>
      <c r="R29" s="15">
        <v>0.49309998750686651</v>
      </c>
      <c r="S29" s="47"/>
      <c r="T29" s="47"/>
      <c r="U29" s="22">
        <f t="shared" si="15"/>
        <v>-0.89927293062210079</v>
      </c>
      <c r="V29" s="22">
        <f t="shared" si="16"/>
        <v>-0.39439836263656614</v>
      </c>
      <c r="W29" s="22">
        <f t="shared" si="16"/>
        <v>-0.30309998750686651</v>
      </c>
      <c r="Y29" s="12">
        <v>9</v>
      </c>
      <c r="Z29" s="13">
        <v>1214</v>
      </c>
      <c r="AA29" s="13">
        <v>1051</v>
      </c>
      <c r="AB29" s="14">
        <v>0.43758389353752142</v>
      </c>
      <c r="AC29" s="14">
        <v>0.32209837436676031</v>
      </c>
      <c r="AD29" s="15">
        <v>0.2386712655425072</v>
      </c>
      <c r="AE29" s="47"/>
      <c r="AF29" s="47"/>
      <c r="AG29" s="22">
        <f t="shared" si="17"/>
        <v>-0.51241610646247859</v>
      </c>
      <c r="AH29" s="22">
        <f t="shared" si="18"/>
        <v>-4.2098374366760283E-2</v>
      </c>
      <c r="AI29" s="22">
        <f t="shared" si="19"/>
        <v>-4.8671265542507197E-2</v>
      </c>
    </row>
    <row r="30" spans="1:35" ht="15.75" thickBot="1">
      <c r="A30" s="16">
        <v>10</v>
      </c>
      <c r="B30" s="17">
        <v>1197</v>
      </c>
      <c r="C30" s="17">
        <v>1067</v>
      </c>
      <c r="D30" s="18">
        <v>0.94334414601325989</v>
      </c>
      <c r="E30" s="18">
        <v>0.24255998432636261</v>
      </c>
      <c r="F30" s="19">
        <v>0.1449912637472153</v>
      </c>
      <c r="G30" s="47"/>
      <c r="H30" s="47"/>
      <c r="I30" s="22">
        <f t="shared" si="13"/>
        <v>-6.6558539867400679E-3</v>
      </c>
      <c r="J30" s="22">
        <f t="shared" si="14"/>
        <v>7.4400156736373901E-3</v>
      </c>
      <c r="K30" s="22">
        <f t="shared" si="14"/>
        <v>2.5008736252784713E-2</v>
      </c>
      <c r="M30" s="16">
        <v>10</v>
      </c>
      <c r="N30" s="17">
        <v>1016</v>
      </c>
      <c r="O30" s="17">
        <v>926</v>
      </c>
      <c r="P30" s="18">
        <v>-0.97689294815063477</v>
      </c>
      <c r="Q30" s="18">
        <v>0.92032551765441895</v>
      </c>
      <c r="R30" s="19">
        <v>0.7951778769493103</v>
      </c>
      <c r="S30" s="47"/>
      <c r="T30" s="47"/>
      <c r="U30" s="22">
        <f t="shared" si="15"/>
        <v>-1.9268929481506347</v>
      </c>
      <c r="V30" s="22">
        <f t="shared" si="16"/>
        <v>-0.67032551765441895</v>
      </c>
      <c r="W30" s="22">
        <f t="shared" si="16"/>
        <v>-0.62517787694931026</v>
      </c>
      <c r="Y30" s="16">
        <v>10</v>
      </c>
      <c r="Z30" s="17">
        <v>1212</v>
      </c>
      <c r="AA30" s="17">
        <v>1036</v>
      </c>
      <c r="AB30" s="18">
        <v>-0.16499066352844241</v>
      </c>
      <c r="AC30" s="18">
        <v>0.36762303113937378</v>
      </c>
      <c r="AD30" s="19">
        <v>0.30447755753993988</v>
      </c>
      <c r="AE30" s="47"/>
      <c r="AF30" s="47"/>
      <c r="AG30" s="22">
        <f t="shared" si="17"/>
        <v>-1.1149906635284423</v>
      </c>
      <c r="AH30" s="22">
        <f t="shared" si="18"/>
        <v>-0.11762303113937378</v>
      </c>
      <c r="AI30" s="22">
        <f t="shared" si="19"/>
        <v>-0.13447755753993987</v>
      </c>
    </row>
    <row r="31" spans="1:35" ht="16.5" thickBot="1">
      <c r="A31" s="132" t="s">
        <v>27</v>
      </c>
      <c r="B31" s="132"/>
      <c r="C31" s="132"/>
      <c r="D31" s="20">
        <f>AVERAGE(D26:D30)</f>
        <v>0.89672515392303465</v>
      </c>
      <c r="E31" s="20">
        <f t="shared" ref="E31:F31" si="20">AVERAGE(E26:E30)</f>
        <v>0.26974173188209533</v>
      </c>
      <c r="F31" s="20">
        <f t="shared" si="20"/>
        <v>0.1662983790040016</v>
      </c>
      <c r="G31" s="47"/>
      <c r="H31" s="6" t="s">
        <v>19</v>
      </c>
      <c r="I31" s="23">
        <f>SUM(I26:I30)</f>
        <v>-1.6374230384826549E-2</v>
      </c>
      <c r="J31" s="23">
        <f t="shared" ref="J31:K31" si="21">SUM(J26:J30)</f>
        <v>0.73129134058952339</v>
      </c>
      <c r="K31" s="23">
        <f t="shared" si="21"/>
        <v>0.60850810497999208</v>
      </c>
      <c r="M31" s="132" t="s">
        <v>27</v>
      </c>
      <c r="N31" s="132"/>
      <c r="O31" s="132"/>
      <c r="P31" s="20">
        <f>AVERAGE(P26:P30)</f>
        <v>-7.4528157711029053E-2</v>
      </c>
      <c r="Q31" s="20">
        <f t="shared" ref="Q31:R31" si="22">AVERAGE(Q26:Q30)</f>
        <v>0.74270355105400088</v>
      </c>
      <c r="R31" s="20">
        <f t="shared" si="22"/>
        <v>0.60127689838409426</v>
      </c>
      <c r="S31" s="47"/>
      <c r="T31" s="6" t="s">
        <v>19</v>
      </c>
      <c r="U31" s="23">
        <f>SUM(U26:U30)</f>
        <v>-4.8726407885551453</v>
      </c>
      <c r="V31" s="23">
        <f t="shared" ref="V31:W31" si="23">SUM(V26:V30)</f>
        <v>-1.6335177552700042</v>
      </c>
      <c r="W31" s="23">
        <f t="shared" si="23"/>
        <v>-1.5663844919204712</v>
      </c>
      <c r="Y31" s="132" t="s">
        <v>27</v>
      </c>
      <c r="Z31" s="132"/>
      <c r="AA31" s="132"/>
      <c r="AB31" s="20">
        <f>AVERAGE(AB26:AB30)</f>
        <v>0.41757598519325256</v>
      </c>
      <c r="AC31" s="20">
        <f t="shared" ref="AC31:AD31" si="24">AVERAGE(AC26:AC30)</f>
        <v>0.49486597776412966</v>
      </c>
      <c r="AD31" s="20">
        <f t="shared" si="24"/>
        <v>0.376610504090786</v>
      </c>
      <c r="AE31" s="47"/>
      <c r="AF31" s="6" t="s">
        <v>19</v>
      </c>
      <c r="AG31" s="23">
        <f>SUM(AG26:AG30)</f>
        <v>-2.4121200740337372</v>
      </c>
      <c r="AH31" s="23">
        <f t="shared" ref="AH31:AI31" si="25">SUM(AH26:AH30)</f>
        <v>-0.39432988882064807</v>
      </c>
      <c r="AI31" s="23">
        <f t="shared" si="25"/>
        <v>-0.44305252045392995</v>
      </c>
    </row>
    <row r="32" spans="1:35"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</row>
    <row r="33" spans="1:35" ht="15.75" thickBot="1"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</row>
    <row r="34" spans="1:35" ht="15.75">
      <c r="A34" s="128" t="s">
        <v>33</v>
      </c>
      <c r="B34" s="129"/>
      <c r="C34" s="129"/>
      <c r="D34" s="129"/>
      <c r="E34" s="129"/>
      <c r="F34" s="130"/>
      <c r="H34" s="20"/>
      <c r="I34" s="131" t="s">
        <v>29</v>
      </c>
      <c r="J34" s="131"/>
      <c r="K34" s="131"/>
      <c r="M34" s="128" t="s">
        <v>33</v>
      </c>
      <c r="N34" s="129"/>
      <c r="O34" s="129"/>
      <c r="P34" s="129"/>
      <c r="Q34" s="129"/>
      <c r="R34" s="130"/>
      <c r="S34" s="47"/>
      <c r="T34" s="20"/>
      <c r="U34" s="131" t="s">
        <v>29</v>
      </c>
      <c r="V34" s="131"/>
      <c r="W34" s="131"/>
      <c r="Y34" s="128" t="s">
        <v>33</v>
      </c>
      <c r="Z34" s="129"/>
      <c r="AA34" s="129"/>
      <c r="AB34" s="129"/>
      <c r="AC34" s="129"/>
      <c r="AD34" s="130"/>
      <c r="AE34" s="47"/>
      <c r="AF34" s="20"/>
      <c r="AG34" s="131" t="s">
        <v>29</v>
      </c>
      <c r="AH34" s="131"/>
      <c r="AI34" s="131"/>
    </row>
    <row r="35" spans="1:35">
      <c r="A35" s="9" t="s">
        <v>30</v>
      </c>
      <c r="B35" s="10" t="s">
        <v>31</v>
      </c>
      <c r="C35" s="10" t="s">
        <v>2</v>
      </c>
      <c r="D35" s="10" t="s">
        <v>3</v>
      </c>
      <c r="E35" s="10" t="s">
        <v>4</v>
      </c>
      <c r="F35" s="11" t="s">
        <v>5</v>
      </c>
      <c r="I35" s="10" t="s">
        <v>3</v>
      </c>
      <c r="J35" s="10" t="s">
        <v>4</v>
      </c>
      <c r="K35" s="11" t="s">
        <v>5</v>
      </c>
      <c r="M35" s="9" t="s">
        <v>30</v>
      </c>
      <c r="N35" s="10" t="s">
        <v>31</v>
      </c>
      <c r="O35" s="10" t="s">
        <v>2</v>
      </c>
      <c r="P35" s="10" t="s">
        <v>3</v>
      </c>
      <c r="Q35" s="10" t="s">
        <v>4</v>
      </c>
      <c r="R35" s="11" t="s">
        <v>5</v>
      </c>
      <c r="S35" s="47"/>
      <c r="T35" s="47"/>
      <c r="U35" s="10" t="s">
        <v>3</v>
      </c>
      <c r="V35" s="10" t="s">
        <v>4</v>
      </c>
      <c r="W35" s="11" t="s">
        <v>5</v>
      </c>
      <c r="Y35" s="9" t="s">
        <v>30</v>
      </c>
      <c r="Z35" s="10" t="s">
        <v>31</v>
      </c>
      <c r="AA35" s="10" t="s">
        <v>2</v>
      </c>
      <c r="AB35" s="10" t="s">
        <v>3</v>
      </c>
      <c r="AC35" s="10" t="s">
        <v>4</v>
      </c>
      <c r="AD35" s="11" t="s">
        <v>5</v>
      </c>
      <c r="AE35" s="47"/>
      <c r="AF35" s="47"/>
      <c r="AG35" s="10" t="s">
        <v>3</v>
      </c>
      <c r="AH35" s="10" t="s">
        <v>4</v>
      </c>
      <c r="AI35" s="11" t="s">
        <v>5</v>
      </c>
    </row>
    <row r="36" spans="1:35">
      <c r="A36" s="12">
        <v>6</v>
      </c>
      <c r="B36" s="13">
        <v>1129</v>
      </c>
      <c r="C36" s="13">
        <v>2114</v>
      </c>
      <c r="D36" s="14">
        <v>0.91447299999999998</v>
      </c>
      <c r="E36" s="14">
        <v>0.40637200000000001</v>
      </c>
      <c r="F36" s="15">
        <v>0.279418</v>
      </c>
      <c r="I36" s="22">
        <f>D36-D5</f>
        <v>2.4472999999999967E-2</v>
      </c>
      <c r="J36" s="22">
        <f>E5-E36</f>
        <v>0.13362800000000002</v>
      </c>
      <c r="K36" s="22">
        <f>F5-F36</f>
        <v>0.11058200000000001</v>
      </c>
      <c r="M36" s="12">
        <v>6</v>
      </c>
      <c r="N36" s="13">
        <v>1006</v>
      </c>
      <c r="O36" s="13">
        <v>1932</v>
      </c>
      <c r="P36" s="14">
        <v>0.72999951243400574</v>
      </c>
      <c r="Q36" s="14">
        <v>0.54259514808654785</v>
      </c>
      <c r="R36" s="15">
        <v>0.36783505976200098</v>
      </c>
      <c r="S36" s="47"/>
      <c r="T36" s="47"/>
      <c r="U36" s="22">
        <f>P36-D5</f>
        <v>-0.16000048756599428</v>
      </c>
      <c r="V36" s="22">
        <f>E5-Q36</f>
        <v>-2.595148086547816E-3</v>
      </c>
      <c r="W36" s="22">
        <f>F5-R36</f>
        <v>2.2164940237999031E-2</v>
      </c>
      <c r="Y36" s="12">
        <v>6</v>
      </c>
      <c r="Z36" s="13">
        <v>1119</v>
      </c>
      <c r="AA36" s="13">
        <v>2024</v>
      </c>
      <c r="AB36" s="14">
        <v>0.85543432831764221</v>
      </c>
      <c r="AC36" s="14">
        <v>0.65034317970275879</v>
      </c>
      <c r="AD36" s="15">
        <v>0.46640044450759888</v>
      </c>
      <c r="AE36" s="47"/>
      <c r="AF36" s="47"/>
      <c r="AG36" s="22">
        <f>AB36-D5</f>
        <v>-3.4565671682357801E-2</v>
      </c>
      <c r="AH36" s="22">
        <f>E5-AC36</f>
        <v>-0.11034317970275875</v>
      </c>
      <c r="AI36" s="22">
        <f>F5-AD36</f>
        <v>-7.6400444507598864E-2</v>
      </c>
    </row>
    <row r="37" spans="1:35">
      <c r="A37" s="12">
        <v>7</v>
      </c>
      <c r="B37" s="13">
        <v>1199</v>
      </c>
      <c r="C37" s="13">
        <v>2227</v>
      </c>
      <c r="D37" s="14">
        <v>0.85048400000000002</v>
      </c>
      <c r="E37" s="14">
        <v>0.48806300000000002</v>
      </c>
      <c r="F37" s="15">
        <v>0.30631399999999998</v>
      </c>
      <c r="I37" s="22">
        <f t="shared" ref="I37:I40" si="26">D37-D6</f>
        <v>1.0484000000000049E-2</v>
      </c>
      <c r="J37" s="22">
        <f t="shared" ref="J37:K40" si="27">E6-E37</f>
        <v>7.1937000000000029E-2</v>
      </c>
      <c r="K37" s="22">
        <f t="shared" si="27"/>
        <v>8.3686000000000038E-2</v>
      </c>
      <c r="M37" s="12">
        <v>7</v>
      </c>
      <c r="N37" s="13">
        <v>1017</v>
      </c>
      <c r="O37" s="13">
        <v>1933</v>
      </c>
      <c r="P37" s="14">
        <v>0.19844573736190799</v>
      </c>
      <c r="Q37" s="14">
        <v>0.75584793090820313</v>
      </c>
      <c r="R37" s="15">
        <v>0.60570663213729858</v>
      </c>
      <c r="S37" s="47"/>
      <c r="T37" s="47"/>
      <c r="U37" s="22">
        <f t="shared" ref="U37:U40" si="28">P37-D6</f>
        <v>-0.64155426263809201</v>
      </c>
      <c r="V37" s="22">
        <f t="shared" ref="V37:W40" si="29">E6-Q37</f>
        <v>-0.19584793090820307</v>
      </c>
      <c r="W37" s="22">
        <f t="shared" si="29"/>
        <v>-0.21570663213729857</v>
      </c>
      <c r="Y37" s="12">
        <v>7</v>
      </c>
      <c r="Z37" s="13">
        <v>1218</v>
      </c>
      <c r="AA37" s="13">
        <v>2171</v>
      </c>
      <c r="AB37" s="14">
        <v>0.8400677045186361</v>
      </c>
      <c r="AC37" s="14">
        <v>0.45626711845397949</v>
      </c>
      <c r="AD37" s="15">
        <v>0.30908298492431641</v>
      </c>
      <c r="AE37" s="47"/>
      <c r="AF37" s="47"/>
      <c r="AG37" s="22">
        <f t="shared" ref="AG37:AG40" si="30">AB37-D6</f>
        <v>6.7704518636135802E-5</v>
      </c>
      <c r="AH37" s="22">
        <f t="shared" ref="AH37:AI40" si="31">E6-AC37</f>
        <v>0.10373288154602056</v>
      </c>
      <c r="AI37" s="22">
        <f t="shared" si="31"/>
        <v>8.0917015075683607E-2</v>
      </c>
    </row>
    <row r="38" spans="1:35">
      <c r="A38" s="12">
        <v>8</v>
      </c>
      <c r="B38" s="13">
        <v>1199</v>
      </c>
      <c r="C38" s="13">
        <v>2224</v>
      </c>
      <c r="D38" s="14">
        <v>0.906613</v>
      </c>
      <c r="E38" s="14">
        <v>0.35206100000000001</v>
      </c>
      <c r="F38" s="15">
        <v>0.212088</v>
      </c>
      <c r="I38" s="22">
        <f t="shared" si="26"/>
        <v>3.6613000000000007E-2</v>
      </c>
      <c r="J38" s="22">
        <f t="shared" si="27"/>
        <v>9.7938999999999998E-2</v>
      </c>
      <c r="K38" s="22">
        <f t="shared" si="27"/>
        <v>8.791199999999999E-2</v>
      </c>
      <c r="M38" s="12">
        <v>8</v>
      </c>
      <c r="N38" s="13">
        <v>1017</v>
      </c>
      <c r="O38" s="13">
        <v>1931</v>
      </c>
      <c r="P38" s="14">
        <v>0.2268050014972687</v>
      </c>
      <c r="Q38" s="14">
        <v>0.63678252696990967</v>
      </c>
      <c r="R38" s="15">
        <v>0.50895673036575317</v>
      </c>
      <c r="S38" s="47"/>
      <c r="T38" s="47"/>
      <c r="U38" s="22">
        <f t="shared" si="28"/>
        <v>-0.64319499850273132</v>
      </c>
      <c r="V38" s="22">
        <f t="shared" si="29"/>
        <v>-0.18678252696990966</v>
      </c>
      <c r="W38" s="22">
        <f t="shared" si="29"/>
        <v>-0.20895673036575318</v>
      </c>
      <c r="Y38" s="12">
        <v>8</v>
      </c>
      <c r="Z38" s="13">
        <v>1215</v>
      </c>
      <c r="AA38" s="13">
        <v>2174</v>
      </c>
      <c r="AB38" s="14">
        <v>0.70322777827580774</v>
      </c>
      <c r="AC38" s="14">
        <v>0.35795560479164118</v>
      </c>
      <c r="AD38" s="15">
        <v>0.22558161616325381</v>
      </c>
      <c r="AE38" s="47"/>
      <c r="AF38" s="47"/>
      <c r="AG38" s="22">
        <f t="shared" si="30"/>
        <v>-0.16677222172419226</v>
      </c>
      <c r="AH38" s="22">
        <f t="shared" si="31"/>
        <v>9.2044395208358831E-2</v>
      </c>
      <c r="AI38" s="22">
        <f t="shared" si="31"/>
        <v>7.4418383836746177E-2</v>
      </c>
    </row>
    <row r="39" spans="1:35">
      <c r="A39" s="12">
        <v>9</v>
      </c>
      <c r="B39" s="13">
        <v>1198</v>
      </c>
      <c r="C39" s="13">
        <v>2221</v>
      </c>
      <c r="D39" s="14">
        <v>0.93162299999999998</v>
      </c>
      <c r="E39" s="14">
        <v>0.28584399999999999</v>
      </c>
      <c r="F39" s="15">
        <v>0.16537399999999999</v>
      </c>
      <c r="I39" s="22">
        <f t="shared" si="26"/>
        <v>-1.8376999999999977E-2</v>
      </c>
      <c r="J39" s="22">
        <f t="shared" si="27"/>
        <v>-5.8439999999999603E-3</v>
      </c>
      <c r="K39" s="22">
        <f t="shared" si="27"/>
        <v>2.4626000000000009E-2</v>
      </c>
      <c r="M39" s="12">
        <v>9</v>
      </c>
      <c r="N39" s="13">
        <v>1017</v>
      </c>
      <c r="O39" s="13">
        <v>1919</v>
      </c>
      <c r="P39" s="14">
        <v>0.30152907967567438</v>
      </c>
      <c r="Q39" s="14">
        <v>0.54063349962234497</v>
      </c>
      <c r="R39" s="15">
        <v>0.37179243564605707</v>
      </c>
      <c r="S39" s="47"/>
      <c r="T39" s="47"/>
      <c r="U39" s="22">
        <f t="shared" si="28"/>
        <v>-0.64847092032432552</v>
      </c>
      <c r="V39" s="22">
        <f t="shared" si="29"/>
        <v>-0.26063349962234494</v>
      </c>
      <c r="W39" s="22">
        <f t="shared" si="29"/>
        <v>-0.18179243564605707</v>
      </c>
      <c r="Y39" s="12">
        <v>9</v>
      </c>
      <c r="Z39" s="13">
        <v>1214</v>
      </c>
      <c r="AA39" s="13">
        <v>2159</v>
      </c>
      <c r="AB39" s="14">
        <v>0.45570560296376539</v>
      </c>
      <c r="AC39" s="14">
        <v>0.29943999648094177</v>
      </c>
      <c r="AD39" s="15">
        <v>0.1815911779801051</v>
      </c>
      <c r="AE39" s="47"/>
      <c r="AF39" s="47"/>
      <c r="AG39" s="22">
        <f t="shared" si="30"/>
        <v>-0.49429439703623457</v>
      </c>
      <c r="AH39" s="22">
        <f t="shared" si="31"/>
        <v>-1.9439996480941746E-2</v>
      </c>
      <c r="AI39" s="22">
        <f t="shared" si="31"/>
        <v>8.4088220198949015E-3</v>
      </c>
    </row>
    <row r="40" spans="1:35" ht="15.75" thickBot="1">
      <c r="A40" s="16">
        <v>10</v>
      </c>
      <c r="B40" s="17">
        <v>1197</v>
      </c>
      <c r="C40" s="17">
        <v>2161</v>
      </c>
      <c r="D40" s="18">
        <v>0.94672400000000001</v>
      </c>
      <c r="E40" s="18">
        <v>0.24576999999999999</v>
      </c>
      <c r="F40" s="19">
        <v>0.14141000000000001</v>
      </c>
      <c r="I40" s="22">
        <f t="shared" si="26"/>
        <v>-3.2759999999999456E-3</v>
      </c>
      <c r="J40" s="22">
        <f t="shared" si="27"/>
        <v>4.2300000000000115E-3</v>
      </c>
      <c r="K40" s="22">
        <f t="shared" si="27"/>
        <v>2.8590000000000004E-2</v>
      </c>
      <c r="M40" s="16">
        <v>10</v>
      </c>
      <c r="N40" s="17">
        <v>1016</v>
      </c>
      <c r="O40" s="17">
        <v>1881</v>
      </c>
      <c r="P40" s="18">
        <v>-0.18728673458099371</v>
      </c>
      <c r="Q40" s="18">
        <v>0.67228376865386963</v>
      </c>
      <c r="R40" s="19">
        <v>0.47403243184089661</v>
      </c>
      <c r="S40" s="47"/>
      <c r="T40" s="47"/>
      <c r="U40" s="22">
        <f t="shared" si="28"/>
        <v>-1.1372867345809936</v>
      </c>
      <c r="V40" s="22">
        <f t="shared" si="29"/>
        <v>-0.42228376865386963</v>
      </c>
      <c r="W40" s="22">
        <f t="shared" si="29"/>
        <v>-0.30403243184089657</v>
      </c>
      <c r="Y40" s="16">
        <v>10</v>
      </c>
      <c r="Z40" s="17">
        <v>1212</v>
      </c>
      <c r="AA40" s="17">
        <v>2123</v>
      </c>
      <c r="AB40" s="18">
        <v>7.6732178529103592E-2</v>
      </c>
      <c r="AC40" s="18">
        <v>0.29300963878631592</v>
      </c>
      <c r="AD40" s="19">
        <v>0.1806721240282059</v>
      </c>
      <c r="AE40" s="47"/>
      <c r="AF40" s="47"/>
      <c r="AG40" s="22">
        <f t="shared" si="30"/>
        <v>-0.87326782147089632</v>
      </c>
      <c r="AH40" s="22">
        <f t="shared" si="31"/>
        <v>-4.3009638786315918E-2</v>
      </c>
      <c r="AI40" s="22">
        <f t="shared" si="31"/>
        <v>-1.0672124028205887E-2</v>
      </c>
    </row>
    <row r="41" spans="1:35" ht="16.5" thickBot="1">
      <c r="A41" s="132" t="s">
        <v>27</v>
      </c>
      <c r="B41" s="132"/>
      <c r="C41" s="132"/>
      <c r="D41" s="20">
        <f>AVERAGE(D36:D40)</f>
        <v>0.9099834</v>
      </c>
      <c r="E41" s="20">
        <f t="shared" ref="E41:F41" si="32">AVERAGE(E36:E40)</f>
        <v>0.35562199999999999</v>
      </c>
      <c r="F41" s="20">
        <f t="shared" si="32"/>
        <v>0.22092079999999997</v>
      </c>
      <c r="H41" s="6" t="s">
        <v>19</v>
      </c>
      <c r="I41" s="23">
        <f>SUM(I36:I40)</f>
        <v>4.99170000000001E-2</v>
      </c>
      <c r="J41" s="23">
        <f t="shared" ref="J41:K41" si="33">SUM(J36:J40)</f>
        <v>0.3018900000000001</v>
      </c>
      <c r="K41" s="23">
        <f t="shared" si="33"/>
        <v>0.33539600000000003</v>
      </c>
      <c r="M41" s="132" t="s">
        <v>27</v>
      </c>
      <c r="N41" s="132"/>
      <c r="O41" s="132"/>
      <c r="P41" s="20">
        <f>AVERAGE(P36:P40)</f>
        <v>0.25389851927757262</v>
      </c>
      <c r="Q41" s="20">
        <f t="shared" ref="Q41:R41" si="34">AVERAGE(Q36:Q40)</f>
        <v>0.62962857484817503</v>
      </c>
      <c r="R41" s="20">
        <f t="shared" si="34"/>
        <v>0.4656646579504013</v>
      </c>
      <c r="S41" s="47"/>
      <c r="T41" s="6" t="s">
        <v>19</v>
      </c>
      <c r="U41" s="23">
        <f>SUM(U36:U40)</f>
        <v>-3.2305074036121368</v>
      </c>
      <c r="V41" s="23">
        <f t="shared" ref="V41:W41" si="35">SUM(V36:V40)</f>
        <v>-1.0681428742408752</v>
      </c>
      <c r="W41" s="23">
        <f t="shared" si="35"/>
        <v>-0.88832328975200636</v>
      </c>
      <c r="Y41" s="132" t="s">
        <v>27</v>
      </c>
      <c r="Z41" s="132"/>
      <c r="AA41" s="132"/>
      <c r="AB41" s="20">
        <f>AVERAGE(AB36:AB40)</f>
        <v>0.58623351852099104</v>
      </c>
      <c r="AC41" s="20">
        <f t="shared" ref="AC41:AD41" si="36">AVERAGE(AC36:AC40)</f>
        <v>0.41140310764312743</v>
      </c>
      <c r="AD41" s="20">
        <f t="shared" si="36"/>
        <v>0.27266566952069604</v>
      </c>
      <c r="AE41" s="47"/>
      <c r="AF41" s="6" t="s">
        <v>19</v>
      </c>
      <c r="AG41" s="23">
        <f>SUM(AG36:AG40)</f>
        <v>-1.5688324073950448</v>
      </c>
      <c r="AH41" s="23">
        <f t="shared" ref="AH41:AI41" si="37">SUM(AH36:AH40)</f>
        <v>2.2984461784362975E-2</v>
      </c>
      <c r="AI41" s="23">
        <f t="shared" si="37"/>
        <v>7.6671652396519935E-2</v>
      </c>
    </row>
    <row r="44" spans="1:35">
      <c r="M44" s="137" t="s">
        <v>56</v>
      </c>
      <c r="N44" s="137"/>
      <c r="O44" s="137"/>
      <c r="P44" s="137"/>
      <c r="Q44" s="137"/>
      <c r="R44" s="137"/>
      <c r="S44" s="47"/>
      <c r="T44" s="47"/>
      <c r="U44" s="47"/>
      <c r="V44" s="47"/>
      <c r="W44" s="47"/>
      <c r="Y44" s="137" t="s">
        <v>56</v>
      </c>
      <c r="Z44" s="137"/>
      <c r="AA44" s="137"/>
      <c r="AB44" s="137"/>
      <c r="AC44" s="137"/>
      <c r="AD44" s="137"/>
      <c r="AE44" s="47" t="s">
        <v>57</v>
      </c>
      <c r="AF44" s="47"/>
      <c r="AG44" s="47"/>
      <c r="AH44" s="47"/>
      <c r="AI44" s="47"/>
    </row>
    <row r="45" spans="1:35">
      <c r="M45" s="137"/>
      <c r="N45" s="137"/>
      <c r="O45" s="137"/>
      <c r="P45" s="137"/>
      <c r="Q45" s="137"/>
      <c r="R45" s="137"/>
      <c r="S45" s="47"/>
      <c r="T45" s="47"/>
      <c r="U45" s="47"/>
      <c r="V45" s="47"/>
      <c r="W45" s="47"/>
      <c r="Y45" s="137"/>
      <c r="Z45" s="137"/>
      <c r="AA45" s="137"/>
      <c r="AB45" s="137"/>
      <c r="AC45" s="137"/>
      <c r="AD45" s="137"/>
      <c r="AE45" s="47"/>
      <c r="AF45" s="47"/>
      <c r="AG45" s="47"/>
      <c r="AH45" s="47"/>
      <c r="AI45" s="47"/>
    </row>
    <row r="46" spans="1:35" ht="15.75" thickBot="1"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</row>
    <row r="47" spans="1:35" ht="15.75">
      <c r="M47" s="128" t="s">
        <v>32</v>
      </c>
      <c r="N47" s="129"/>
      <c r="O47" s="129"/>
      <c r="P47" s="129"/>
      <c r="Q47" s="129"/>
      <c r="R47" s="130"/>
      <c r="S47" s="47"/>
      <c r="T47" s="20"/>
      <c r="U47" s="131" t="s">
        <v>29</v>
      </c>
      <c r="V47" s="131"/>
      <c r="W47" s="131"/>
      <c r="Y47" s="128" t="s">
        <v>32</v>
      </c>
      <c r="Z47" s="129"/>
      <c r="AA47" s="129"/>
      <c r="AB47" s="129"/>
      <c r="AC47" s="129"/>
      <c r="AD47" s="130"/>
      <c r="AE47" s="47"/>
      <c r="AF47" s="20"/>
      <c r="AG47" s="131" t="s">
        <v>29</v>
      </c>
      <c r="AH47" s="131"/>
      <c r="AI47" s="131"/>
    </row>
    <row r="48" spans="1:35">
      <c r="M48" s="9" t="s">
        <v>30</v>
      </c>
      <c r="N48" s="10" t="s">
        <v>31</v>
      </c>
      <c r="O48" s="10" t="s">
        <v>2</v>
      </c>
      <c r="P48" s="10" t="s">
        <v>3</v>
      </c>
      <c r="Q48" s="10" t="s">
        <v>4</v>
      </c>
      <c r="R48" s="11" t="s">
        <v>5</v>
      </c>
      <c r="S48" s="47"/>
      <c r="T48" s="47"/>
      <c r="U48" s="10" t="s">
        <v>3</v>
      </c>
      <c r="V48" s="10" t="s">
        <v>4</v>
      </c>
      <c r="W48" s="11" t="s">
        <v>5</v>
      </c>
      <c r="Y48" s="9" t="s">
        <v>30</v>
      </c>
      <c r="Z48" s="10" t="s">
        <v>31</v>
      </c>
      <c r="AA48" s="10" t="s">
        <v>2</v>
      </c>
      <c r="AB48" s="10" t="s">
        <v>3</v>
      </c>
      <c r="AC48" s="10" t="s">
        <v>4</v>
      </c>
      <c r="AD48" s="11" t="s">
        <v>5</v>
      </c>
      <c r="AE48" s="47"/>
      <c r="AF48" s="47"/>
      <c r="AG48" s="10" t="s">
        <v>3</v>
      </c>
      <c r="AH48" s="10" t="s">
        <v>4</v>
      </c>
      <c r="AI48" s="11" t="s">
        <v>5</v>
      </c>
    </row>
    <row r="49" spans="13:35">
      <c r="M49" s="12">
        <v>6</v>
      </c>
      <c r="N49" s="13">
        <v>1094</v>
      </c>
      <c r="O49" s="13">
        <v>1023</v>
      </c>
      <c r="P49" s="14">
        <v>0.86363351345062256</v>
      </c>
      <c r="Q49" s="14">
        <v>0.36917504668235779</v>
      </c>
      <c r="R49" s="15">
        <v>0.22009190917015081</v>
      </c>
      <c r="S49" s="47"/>
      <c r="T49" s="47"/>
      <c r="U49" s="22">
        <f>P49-D5</f>
        <v>-2.6366486549377455E-2</v>
      </c>
      <c r="V49" s="22">
        <f>E5-Q49</f>
        <v>0.17082495331764225</v>
      </c>
      <c r="W49" s="22">
        <f>F5-R49</f>
        <v>0.1699080908298492</v>
      </c>
      <c r="Y49" s="12">
        <v>6</v>
      </c>
      <c r="Z49" s="13">
        <v>1010</v>
      </c>
      <c r="AA49" s="13">
        <v>949</v>
      </c>
      <c r="AB49" s="14">
        <v>0.88558995723724365</v>
      </c>
      <c r="AC49" s="14">
        <v>0.29448667168617249</v>
      </c>
      <c r="AD49" s="15">
        <v>0.17124645411968231</v>
      </c>
      <c r="AE49" s="47"/>
      <c r="AF49" s="47"/>
      <c r="AG49" s="22">
        <f>AB49-D5</f>
        <v>-4.410042762756361E-3</v>
      </c>
      <c r="AH49" s="22">
        <f>E5-AC49</f>
        <v>0.24551332831382755</v>
      </c>
      <c r="AI49" s="22">
        <f>F5-AD49</f>
        <v>0.2187535458803177</v>
      </c>
    </row>
    <row r="50" spans="13:35">
      <c r="M50" s="12">
        <v>7</v>
      </c>
      <c r="N50" s="13">
        <v>1137</v>
      </c>
      <c r="O50" s="13">
        <v>1107</v>
      </c>
      <c r="P50" s="14">
        <v>0.76725256443023682</v>
      </c>
      <c r="Q50" s="14">
        <v>0.37830564379692078</v>
      </c>
      <c r="R50" s="15">
        <v>0.2253429964184761</v>
      </c>
      <c r="S50" s="47"/>
      <c r="T50" s="47"/>
      <c r="U50" s="22">
        <f t="shared" ref="U50:U53" si="38">P50-D6</f>
        <v>-7.2747435569763153E-2</v>
      </c>
      <c r="V50" s="22">
        <f t="shared" ref="V50:W53" si="39">E6-Q50</f>
        <v>0.18169435620307928</v>
      </c>
      <c r="W50" s="22">
        <f t="shared" si="39"/>
        <v>0.16465700358152391</v>
      </c>
      <c r="Y50" s="12">
        <v>7</v>
      </c>
      <c r="Z50" s="13">
        <v>1108</v>
      </c>
      <c r="AA50" s="13">
        <v>1035</v>
      </c>
      <c r="AB50" s="14">
        <v>0.76699554920196533</v>
      </c>
      <c r="AC50" s="14">
        <v>0.31305372714996338</v>
      </c>
      <c r="AD50" s="15">
        <v>0.21649523824453351</v>
      </c>
      <c r="AE50" s="47"/>
      <c r="AF50" s="47"/>
      <c r="AG50" s="22">
        <f t="shared" ref="AG50:AG53" si="40">AB50-D6</f>
        <v>-7.3004450798034637E-2</v>
      </c>
      <c r="AH50" s="22">
        <f t="shared" ref="AH50:AI53" si="41">E6-AC50</f>
        <v>0.24694627285003667</v>
      </c>
      <c r="AI50" s="22">
        <f t="shared" si="41"/>
        <v>0.1735047617554665</v>
      </c>
    </row>
    <row r="51" spans="13:35">
      <c r="M51" s="12">
        <v>8</v>
      </c>
      <c r="N51" s="13">
        <v>1202</v>
      </c>
      <c r="O51" s="13">
        <v>1112</v>
      </c>
      <c r="P51" s="14">
        <v>0.59821784496307373</v>
      </c>
      <c r="Q51" s="14">
        <v>0.33499902486801147</v>
      </c>
      <c r="R51" s="15">
        <v>0.19371386617422101</v>
      </c>
      <c r="S51" s="47"/>
      <c r="T51" s="47"/>
      <c r="U51" s="22">
        <f t="shared" si="38"/>
        <v>-0.27178215503692627</v>
      </c>
      <c r="V51" s="22">
        <f t="shared" si="39"/>
        <v>0.11500097513198854</v>
      </c>
      <c r="W51" s="22">
        <f t="shared" si="39"/>
        <v>0.10628613382577898</v>
      </c>
      <c r="Y51" s="12">
        <v>8</v>
      </c>
      <c r="Z51" s="13">
        <v>1187</v>
      </c>
      <c r="AA51" s="13">
        <v>1046</v>
      </c>
      <c r="AB51" s="14">
        <v>0.56778782606124878</v>
      </c>
      <c r="AC51" s="14">
        <v>0.25258079171180731</v>
      </c>
      <c r="AD51" s="15">
        <v>0.1779679358005524</v>
      </c>
      <c r="AE51" s="47"/>
      <c r="AF51" s="47"/>
      <c r="AG51" s="22">
        <f t="shared" si="40"/>
        <v>-0.30221217393875122</v>
      </c>
      <c r="AH51" s="22">
        <f t="shared" si="41"/>
        <v>0.1974192082881927</v>
      </c>
      <c r="AI51" s="22">
        <f t="shared" si="41"/>
        <v>0.12203206419944759</v>
      </c>
    </row>
    <row r="52" spans="13:35">
      <c r="M52" s="12">
        <v>9</v>
      </c>
      <c r="N52" s="13">
        <v>1190</v>
      </c>
      <c r="O52" s="13">
        <v>1105</v>
      </c>
      <c r="P52" s="14">
        <v>0.30078616738319403</v>
      </c>
      <c r="Q52" s="14">
        <v>0.32058542966842651</v>
      </c>
      <c r="R52" s="15">
        <v>0.17565502226352689</v>
      </c>
      <c r="S52" s="47"/>
      <c r="T52" s="47"/>
      <c r="U52" s="22">
        <f t="shared" si="38"/>
        <v>-0.64921383261680599</v>
      </c>
      <c r="V52" s="22">
        <f t="shared" si="39"/>
        <v>-4.0585429668426487E-2</v>
      </c>
      <c r="W52" s="22">
        <f t="shared" si="39"/>
        <v>1.4344977736473113E-2</v>
      </c>
      <c r="Y52" s="12">
        <v>9</v>
      </c>
      <c r="Z52" s="13">
        <v>1187</v>
      </c>
      <c r="AA52" s="13">
        <v>1046</v>
      </c>
      <c r="AB52" s="14">
        <v>0.42885410785675049</v>
      </c>
      <c r="AC52" s="14">
        <v>0.18287146091461179</v>
      </c>
      <c r="AD52" s="15">
        <v>0.1200750693678856</v>
      </c>
      <c r="AE52" s="47"/>
      <c r="AF52" s="47"/>
      <c r="AG52" s="22">
        <f t="shared" si="40"/>
        <v>-0.52114589214324947</v>
      </c>
      <c r="AH52" s="22">
        <f t="shared" si="41"/>
        <v>9.7128539085388238E-2</v>
      </c>
      <c r="AI52" s="22">
        <f t="shared" si="41"/>
        <v>6.9924930632114399E-2</v>
      </c>
    </row>
    <row r="53" spans="13:35" ht="15.75" thickBot="1">
      <c r="M53" s="16">
        <v>10</v>
      </c>
      <c r="N53" s="17">
        <v>1164</v>
      </c>
      <c r="O53" s="17">
        <v>1084</v>
      </c>
      <c r="P53" s="18">
        <v>4.7996461391448968E-2</v>
      </c>
      <c r="Q53" s="18">
        <v>0.2997862696647644</v>
      </c>
      <c r="R53" s="19">
        <v>0.17303116619586939</v>
      </c>
      <c r="S53" s="47"/>
      <c r="T53" s="47"/>
      <c r="U53" s="22">
        <f t="shared" si="38"/>
        <v>-0.90200353860855098</v>
      </c>
      <c r="V53" s="22">
        <f t="shared" si="39"/>
        <v>-4.9786269664764404E-2</v>
      </c>
      <c r="W53" s="22">
        <f t="shared" si="39"/>
        <v>-3.0311661958693781E-3</v>
      </c>
      <c r="Y53" s="16">
        <v>10</v>
      </c>
      <c r="Z53" s="17">
        <v>1209</v>
      </c>
      <c r="AA53" s="17">
        <v>1046</v>
      </c>
      <c r="AB53" s="18">
        <v>-0.16041618585586551</v>
      </c>
      <c r="AC53" s="18">
        <v>0.18531279265880579</v>
      </c>
      <c r="AD53" s="19">
        <v>0.13251704722642901</v>
      </c>
      <c r="AE53" s="47"/>
      <c r="AF53" s="47"/>
      <c r="AG53" s="22">
        <f t="shared" si="40"/>
        <v>-1.1104161858558654</v>
      </c>
      <c r="AH53" s="22">
        <f t="shared" si="41"/>
        <v>6.4687207341194208E-2</v>
      </c>
      <c r="AI53" s="22">
        <f t="shared" si="41"/>
        <v>3.7482952773570999E-2</v>
      </c>
    </row>
    <row r="54" spans="13:35" ht="16.5" thickBot="1">
      <c r="M54" s="132" t="s">
        <v>27</v>
      </c>
      <c r="N54" s="132"/>
      <c r="O54" s="132"/>
      <c r="P54" s="20">
        <f>AVERAGE(P49:P53)</f>
        <v>0.51557731032371523</v>
      </c>
      <c r="Q54" s="20">
        <f t="shared" ref="Q54:R54" si="42">AVERAGE(Q49:Q53)</f>
        <v>0.3405702829360962</v>
      </c>
      <c r="R54" s="20">
        <f t="shared" si="42"/>
        <v>0.19756699204444886</v>
      </c>
      <c r="S54" s="47"/>
      <c r="T54" s="6" t="s">
        <v>19</v>
      </c>
      <c r="U54" s="23">
        <f>SUM(U49:U53)</f>
        <v>-1.9221134483814237</v>
      </c>
      <c r="V54" s="23">
        <f t="shared" ref="V54:W54" si="43">SUM(V49:V53)</f>
        <v>0.37714858531951917</v>
      </c>
      <c r="W54" s="23">
        <f t="shared" si="43"/>
        <v>0.4521650397777558</v>
      </c>
      <c r="Y54" s="132" t="s">
        <v>27</v>
      </c>
      <c r="Z54" s="132"/>
      <c r="AA54" s="132"/>
      <c r="AB54" s="20">
        <f>AVERAGE(AB49:AB53)</f>
        <v>0.49776225090026854</v>
      </c>
      <c r="AC54" s="20">
        <f t="shared" ref="AC54:AD54" si="44">AVERAGE(AC49:AC53)</f>
        <v>0.24566108882427215</v>
      </c>
      <c r="AD54" s="20">
        <f t="shared" si="44"/>
        <v>0.16366034895181655</v>
      </c>
      <c r="AE54" s="47"/>
      <c r="AF54" s="6" t="s">
        <v>19</v>
      </c>
      <c r="AG54" s="23">
        <f>SUM(AG49:AG53)</f>
        <v>-2.0111887454986572</v>
      </c>
      <c r="AH54" s="23">
        <f t="shared" ref="AH54:AI54" si="45">SUM(AH49:AH53)</f>
        <v>0.85169455587863929</v>
      </c>
      <c r="AI54" s="23">
        <f t="shared" si="45"/>
        <v>0.62169825524091715</v>
      </c>
    </row>
    <row r="55" spans="13:35" ht="15.75" thickBot="1"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</row>
    <row r="56" spans="13:35" ht="15.75">
      <c r="M56" s="128" t="s">
        <v>28</v>
      </c>
      <c r="N56" s="129"/>
      <c r="O56" s="129"/>
      <c r="P56" s="129"/>
      <c r="Q56" s="129"/>
      <c r="R56" s="130"/>
      <c r="S56" s="47"/>
      <c r="T56" s="20"/>
      <c r="U56" s="131" t="s">
        <v>29</v>
      </c>
      <c r="V56" s="131"/>
      <c r="W56" s="131"/>
      <c r="Y56" s="128" t="s">
        <v>28</v>
      </c>
      <c r="Z56" s="129"/>
      <c r="AA56" s="129"/>
      <c r="AB56" s="129"/>
      <c r="AC56" s="129"/>
      <c r="AD56" s="130"/>
      <c r="AE56" s="47"/>
      <c r="AF56" s="20"/>
      <c r="AG56" s="131" t="s">
        <v>29</v>
      </c>
      <c r="AH56" s="131"/>
      <c r="AI56" s="131"/>
    </row>
    <row r="57" spans="13:35">
      <c r="M57" s="9" t="s">
        <v>30</v>
      </c>
      <c r="N57" s="10" t="s">
        <v>31</v>
      </c>
      <c r="O57" s="10" t="s">
        <v>2</v>
      </c>
      <c r="P57" s="10" t="s">
        <v>3</v>
      </c>
      <c r="Q57" s="10" t="s">
        <v>4</v>
      </c>
      <c r="R57" s="11" t="s">
        <v>5</v>
      </c>
      <c r="S57" s="47"/>
      <c r="T57" s="47"/>
      <c r="U57" s="10" t="s">
        <v>3</v>
      </c>
      <c r="V57" s="10" t="s">
        <v>4</v>
      </c>
      <c r="W57" s="11" t="s">
        <v>5</v>
      </c>
      <c r="Y57" s="9" t="s">
        <v>30</v>
      </c>
      <c r="Z57" s="10" t="s">
        <v>31</v>
      </c>
      <c r="AA57" s="10" t="s">
        <v>2</v>
      </c>
      <c r="AB57" s="10" t="s">
        <v>3</v>
      </c>
      <c r="AC57" s="10" t="s">
        <v>4</v>
      </c>
      <c r="AD57" s="11" t="s">
        <v>5</v>
      </c>
      <c r="AE57" s="47"/>
      <c r="AF57" s="47"/>
      <c r="AG57" s="10" t="s">
        <v>3</v>
      </c>
      <c r="AH57" s="10" t="s">
        <v>4</v>
      </c>
      <c r="AI57" s="11" t="s">
        <v>5</v>
      </c>
    </row>
    <row r="58" spans="13:35">
      <c r="M58" s="12">
        <v>6</v>
      </c>
      <c r="N58" s="13">
        <v>1094</v>
      </c>
      <c r="O58" s="13">
        <v>969</v>
      </c>
      <c r="P58" s="14">
        <v>0.4355919361114502</v>
      </c>
      <c r="Q58" s="14">
        <v>0.91794002056121826</v>
      </c>
      <c r="R58" s="15">
        <v>0.7840227484703064</v>
      </c>
      <c r="S58" s="47"/>
      <c r="T58" s="47"/>
      <c r="U58" s="22">
        <f>P58-D5</f>
        <v>-0.45440806388854982</v>
      </c>
      <c r="V58" s="22">
        <f>E5-Q58</f>
        <v>-0.37794002056121823</v>
      </c>
      <c r="W58" s="22">
        <f>F5-R58</f>
        <v>-0.39402274847030638</v>
      </c>
      <c r="Y58" s="12">
        <v>6</v>
      </c>
      <c r="Z58" s="13">
        <v>1010</v>
      </c>
      <c r="AA58" s="13">
        <v>904</v>
      </c>
      <c r="AB58" s="14">
        <v>0.65998858213424683</v>
      </c>
      <c r="AC58" s="14">
        <v>0.65431272983551025</v>
      </c>
      <c r="AD58" s="15">
        <v>0.54497718811035156</v>
      </c>
      <c r="AE58" s="47"/>
      <c r="AF58" s="47"/>
      <c r="AG58" s="22">
        <f>AB58-D5</f>
        <v>-0.23001141786575319</v>
      </c>
      <c r="AH58" s="22">
        <f>E5-AC58</f>
        <v>-0.11431272983551022</v>
      </c>
      <c r="AI58" s="22">
        <f>F5-AD58</f>
        <v>-0.15497718811035155</v>
      </c>
    </row>
    <row r="59" spans="13:35">
      <c r="M59" s="12">
        <v>7</v>
      </c>
      <c r="N59" s="13">
        <v>1137</v>
      </c>
      <c r="O59" s="13">
        <v>1052</v>
      </c>
      <c r="P59" s="14">
        <v>0.62255749106407166</v>
      </c>
      <c r="Q59" s="14">
        <v>0.61849850416183472</v>
      </c>
      <c r="R59" s="15">
        <v>0.47868980467319489</v>
      </c>
      <c r="S59" s="47"/>
      <c r="T59" s="47"/>
      <c r="U59" s="22">
        <f t="shared" ref="U59:U62" si="46">P59-D6</f>
        <v>-0.21744250893592831</v>
      </c>
      <c r="V59" s="22">
        <f t="shared" ref="V59:W62" si="47">E6-Q59</f>
        <v>-5.8498504161834664E-2</v>
      </c>
      <c r="W59" s="22">
        <f t="shared" si="47"/>
        <v>-8.8689804673194872E-2</v>
      </c>
      <c r="Y59" s="12">
        <v>7</v>
      </c>
      <c r="Z59" s="13">
        <v>1108</v>
      </c>
      <c r="AA59" s="13">
        <v>986</v>
      </c>
      <c r="AB59" s="14">
        <v>-0.1007364988327026</v>
      </c>
      <c r="AC59" s="14">
        <v>0.76915603876113892</v>
      </c>
      <c r="AD59" s="15">
        <v>0.6314738392829895</v>
      </c>
      <c r="AE59" s="47"/>
      <c r="AF59" s="47"/>
      <c r="AG59" s="22">
        <f t="shared" ref="AG59:AG62" si="48">AB59-D6</f>
        <v>-0.94073649883270261</v>
      </c>
      <c r="AH59" s="22">
        <f t="shared" ref="AH59:AI62" si="49">E6-AC59</f>
        <v>-0.20915603876113886</v>
      </c>
      <c r="AI59" s="22">
        <f t="shared" si="49"/>
        <v>-0.24147383928298949</v>
      </c>
    </row>
    <row r="60" spans="13:35">
      <c r="M60" s="12">
        <v>8</v>
      </c>
      <c r="N60" s="13">
        <v>1202</v>
      </c>
      <c r="O60" s="13">
        <v>1058</v>
      </c>
      <c r="P60" s="14">
        <v>0.33501330018043518</v>
      </c>
      <c r="Q60" s="14">
        <v>0.54928624629974365</v>
      </c>
      <c r="R60" s="15">
        <v>0.40747484564781189</v>
      </c>
      <c r="S60" s="47"/>
      <c r="T60" s="47"/>
      <c r="U60" s="22">
        <f t="shared" si="46"/>
        <v>-0.53498669981956481</v>
      </c>
      <c r="V60" s="22">
        <f t="shared" si="47"/>
        <v>-9.9286246299743641E-2</v>
      </c>
      <c r="W60" s="22">
        <f t="shared" si="47"/>
        <v>-0.1074748456478119</v>
      </c>
      <c r="Y60" s="12">
        <v>8</v>
      </c>
      <c r="Z60" s="13">
        <v>1187</v>
      </c>
      <c r="AA60" s="13">
        <v>999</v>
      </c>
      <c r="AB60" s="14">
        <v>0.5682799220085144</v>
      </c>
      <c r="AC60" s="14">
        <v>0.29421171545982361</v>
      </c>
      <c r="AD60" s="15">
        <v>0.21279188990592959</v>
      </c>
      <c r="AE60" s="47"/>
      <c r="AF60" s="47"/>
      <c r="AG60" s="22">
        <f t="shared" si="48"/>
        <v>-0.30172007799148559</v>
      </c>
      <c r="AH60" s="22">
        <f t="shared" si="49"/>
        <v>0.1557882845401764</v>
      </c>
      <c r="AI60" s="22">
        <f t="shared" si="49"/>
        <v>8.7208110094070396E-2</v>
      </c>
    </row>
    <row r="61" spans="13:35">
      <c r="M61" s="12">
        <v>9</v>
      </c>
      <c r="N61" s="13">
        <v>1190</v>
      </c>
      <c r="O61" s="13">
        <v>1045</v>
      </c>
      <c r="P61" s="14">
        <v>-0.4231608510017395</v>
      </c>
      <c r="Q61" s="14">
        <v>0.57470965385437012</v>
      </c>
      <c r="R61" s="15">
        <v>0.46097943186759949</v>
      </c>
      <c r="S61" s="47"/>
      <c r="T61" s="47"/>
      <c r="U61" s="22">
        <f t="shared" si="46"/>
        <v>-1.3731608510017395</v>
      </c>
      <c r="V61" s="22">
        <f t="shared" si="47"/>
        <v>-0.29470965385437009</v>
      </c>
      <c r="W61" s="22">
        <f t="shared" si="47"/>
        <v>-0.27097943186759949</v>
      </c>
      <c r="Y61" s="12">
        <v>9</v>
      </c>
      <c r="Z61" s="13">
        <v>1187</v>
      </c>
      <c r="AA61" s="13">
        <v>999</v>
      </c>
      <c r="AB61" s="14">
        <v>-0.29122388362884521</v>
      </c>
      <c r="AC61" s="14">
        <v>0.30050012469291693</v>
      </c>
      <c r="AD61" s="15">
        <v>0.23071131110191351</v>
      </c>
      <c r="AE61" s="47"/>
      <c r="AF61" s="47"/>
      <c r="AG61" s="22">
        <f t="shared" si="48"/>
        <v>-1.2412238836288452</v>
      </c>
      <c r="AH61" s="22">
        <f t="shared" si="49"/>
        <v>-2.0500124692916899E-2</v>
      </c>
      <c r="AI61" s="22">
        <f t="shared" si="49"/>
        <v>-4.0711311101913505E-2</v>
      </c>
    </row>
    <row r="62" spans="13:35" ht="15.75" thickBot="1">
      <c r="M62" s="16">
        <v>10</v>
      </c>
      <c r="N62" s="17">
        <v>1164</v>
      </c>
      <c r="O62" s="17">
        <v>1036</v>
      </c>
      <c r="P62" s="18">
        <v>-0.76456481218338013</v>
      </c>
      <c r="Q62" s="18">
        <v>0.46267664432525629</v>
      </c>
      <c r="R62" s="19">
        <v>0.38062306493520742</v>
      </c>
      <c r="S62" s="47"/>
      <c r="T62" s="47"/>
      <c r="U62" s="22">
        <f t="shared" si="46"/>
        <v>-1.7145648121833801</v>
      </c>
      <c r="V62" s="22">
        <f t="shared" si="47"/>
        <v>-0.21267664432525629</v>
      </c>
      <c r="W62" s="22">
        <f t="shared" si="47"/>
        <v>-0.21062306493520741</v>
      </c>
      <c r="Y62" s="16">
        <v>10</v>
      </c>
      <c r="Z62" s="17">
        <v>1209</v>
      </c>
      <c r="AA62" s="17">
        <v>1005</v>
      </c>
      <c r="AB62" s="18">
        <v>-0.25855028629302979</v>
      </c>
      <c r="AC62" s="18">
        <v>0.1898647993803024</v>
      </c>
      <c r="AD62" s="19">
        <v>0.12925443053245539</v>
      </c>
      <c r="AE62" s="47"/>
      <c r="AF62" s="47"/>
      <c r="AG62" s="22">
        <f t="shared" si="48"/>
        <v>-1.2085502862930297</v>
      </c>
      <c r="AH62" s="22">
        <f t="shared" si="49"/>
        <v>6.0135200619697599E-2</v>
      </c>
      <c r="AI62" s="22">
        <f t="shared" si="49"/>
        <v>4.0745569467544623E-2</v>
      </c>
    </row>
    <row r="63" spans="13:35" ht="16.5" thickBot="1">
      <c r="M63" s="132" t="s">
        <v>27</v>
      </c>
      <c r="N63" s="132"/>
      <c r="O63" s="132"/>
      <c r="P63" s="20">
        <f>AVERAGE(P58:P62)</f>
        <v>4.1087412834167482E-2</v>
      </c>
      <c r="Q63" s="20">
        <f t="shared" ref="Q63:R63" si="50">AVERAGE(Q58:Q62)</f>
        <v>0.62462221384048466</v>
      </c>
      <c r="R63" s="20">
        <f t="shared" si="50"/>
        <v>0.50235797911882396</v>
      </c>
      <c r="S63" s="47"/>
      <c r="T63" s="6" t="s">
        <v>19</v>
      </c>
      <c r="U63" s="23">
        <f>SUM(U58:U62)</f>
        <v>-4.2945629358291626</v>
      </c>
      <c r="V63" s="23">
        <f t="shared" ref="V63:W63" si="51">SUM(V58:V62)</f>
        <v>-1.043111069202423</v>
      </c>
      <c r="W63" s="23">
        <f t="shared" si="51"/>
        <v>-1.0717898955941201</v>
      </c>
      <c r="Y63" s="132" t="s">
        <v>27</v>
      </c>
      <c r="Z63" s="132"/>
      <c r="AA63" s="132"/>
      <c r="AB63" s="20">
        <f>AVERAGE(AB58:AB62)</f>
        <v>0.11555156707763672</v>
      </c>
      <c r="AC63" s="20">
        <f t="shared" ref="AC63:AD63" si="52">AVERAGE(AC58:AC62)</f>
        <v>0.44160908162593843</v>
      </c>
      <c r="AD63" s="20">
        <f t="shared" si="52"/>
        <v>0.34984173178672789</v>
      </c>
      <c r="AE63" s="47"/>
      <c r="AF63" s="6" t="s">
        <v>19</v>
      </c>
      <c r="AG63" s="23">
        <f>SUM(AG58:AG62)</f>
        <v>-3.9222421646118164</v>
      </c>
      <c r="AH63" s="23">
        <f t="shared" ref="AH63:AI63" si="53">SUM(AH58:AH62)</f>
        <v>-0.12804540812969198</v>
      </c>
      <c r="AI63" s="23">
        <f t="shared" si="53"/>
        <v>-0.30920865893363958</v>
      </c>
    </row>
    <row r="64" spans="13:35"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</row>
    <row r="65" spans="13:35" ht="15.75" thickBot="1"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</row>
    <row r="66" spans="13:35" ht="15.75">
      <c r="M66" s="128" t="s">
        <v>33</v>
      </c>
      <c r="N66" s="129"/>
      <c r="O66" s="129"/>
      <c r="P66" s="129"/>
      <c r="Q66" s="129"/>
      <c r="R66" s="130"/>
      <c r="S66" s="47"/>
      <c r="T66" s="20"/>
      <c r="U66" s="131" t="s">
        <v>29</v>
      </c>
      <c r="V66" s="131"/>
      <c r="W66" s="131"/>
      <c r="Y66" s="128" t="s">
        <v>33</v>
      </c>
      <c r="Z66" s="129"/>
      <c r="AA66" s="129"/>
      <c r="AB66" s="129"/>
      <c r="AC66" s="129"/>
      <c r="AD66" s="130"/>
      <c r="AE66" s="47"/>
      <c r="AF66" s="20"/>
      <c r="AG66" s="131" t="s">
        <v>29</v>
      </c>
      <c r="AH66" s="131"/>
      <c r="AI66" s="131"/>
    </row>
    <row r="67" spans="13:35">
      <c r="M67" s="9" t="s">
        <v>30</v>
      </c>
      <c r="N67" s="10" t="s">
        <v>31</v>
      </c>
      <c r="O67" s="10" t="s">
        <v>2</v>
      </c>
      <c r="P67" s="10" t="s">
        <v>3</v>
      </c>
      <c r="Q67" s="10" t="s">
        <v>4</v>
      </c>
      <c r="R67" s="11" t="s">
        <v>5</v>
      </c>
      <c r="S67" s="47"/>
      <c r="T67" s="47"/>
      <c r="U67" s="10" t="s">
        <v>3</v>
      </c>
      <c r="V67" s="10" t="s">
        <v>4</v>
      </c>
      <c r="W67" s="11" t="s">
        <v>5</v>
      </c>
      <c r="Y67" s="9" t="s">
        <v>30</v>
      </c>
      <c r="Z67" s="10" t="s">
        <v>31</v>
      </c>
      <c r="AA67" s="10" t="s">
        <v>2</v>
      </c>
      <c r="AB67" s="10" t="s">
        <v>3</v>
      </c>
      <c r="AC67" s="10" t="s">
        <v>4</v>
      </c>
      <c r="AD67" s="11" t="s">
        <v>5</v>
      </c>
      <c r="AE67" s="47"/>
      <c r="AF67" s="47"/>
      <c r="AG67" s="10" t="s">
        <v>3</v>
      </c>
      <c r="AH67" s="10" t="s">
        <v>4</v>
      </c>
      <c r="AI67" s="11" t="s">
        <v>5</v>
      </c>
    </row>
    <row r="68" spans="13:35">
      <c r="M68" s="12">
        <v>6</v>
      </c>
      <c r="N68" s="13">
        <v>1094</v>
      </c>
      <c r="O68" s="13">
        <v>1992</v>
      </c>
      <c r="P68" s="14">
        <v>0.84145316481590271</v>
      </c>
      <c r="Q68" s="14">
        <v>0.69120222330093384</v>
      </c>
      <c r="R68" s="15">
        <v>0.49415518343448639</v>
      </c>
      <c r="S68" s="47"/>
      <c r="T68" s="47"/>
      <c r="U68" s="22">
        <f>P68-D5</f>
        <v>-4.8546835184097303E-2</v>
      </c>
      <c r="V68" s="22">
        <f>E5-Q68</f>
        <v>-0.1512022233009338</v>
      </c>
      <c r="W68" s="22">
        <f>F5-R68</f>
        <v>-0.10415518343448638</v>
      </c>
      <c r="Y68" s="12">
        <v>6</v>
      </c>
      <c r="Z68" s="13">
        <v>1010</v>
      </c>
      <c r="AA68" s="13">
        <v>1853</v>
      </c>
      <c r="AB68" s="14">
        <v>0.89480176568031311</v>
      </c>
      <c r="AC68" s="14">
        <v>0.50501275062561035</v>
      </c>
      <c r="AD68" s="15">
        <v>0.35754814743995672</v>
      </c>
      <c r="AE68" s="47"/>
      <c r="AF68" s="47"/>
      <c r="AG68" s="22">
        <f>AB68-D5</f>
        <v>4.801765680313097E-3</v>
      </c>
      <c r="AH68" s="22">
        <f>E5-AC68</f>
        <v>3.4987249374389684E-2</v>
      </c>
      <c r="AI68" s="22">
        <f>F5-AD68</f>
        <v>3.2451852560043293E-2</v>
      </c>
    </row>
    <row r="69" spans="13:35">
      <c r="M69" s="12">
        <v>7</v>
      </c>
      <c r="N69" s="13">
        <v>1137</v>
      </c>
      <c r="O69" s="13">
        <v>2159</v>
      </c>
      <c r="P69" s="14">
        <v>0.8328006466229757</v>
      </c>
      <c r="Q69" s="14">
        <v>0.47787150740623469</v>
      </c>
      <c r="R69" s="15">
        <v>0.32747477293014532</v>
      </c>
      <c r="S69" s="47"/>
      <c r="T69" s="47"/>
      <c r="U69" s="22">
        <f t="shared" ref="U69:U72" si="54">P69-D6</f>
        <v>-7.1993533770242646E-3</v>
      </c>
      <c r="V69" s="22">
        <f t="shared" ref="V69:W72" si="55">E6-Q69</f>
        <v>8.2128492593765368E-2</v>
      </c>
      <c r="W69" s="22">
        <f t="shared" si="55"/>
        <v>6.2525227069854694E-2</v>
      </c>
      <c r="Y69" s="12">
        <v>7</v>
      </c>
      <c r="Z69" s="13">
        <v>1108</v>
      </c>
      <c r="AA69" s="13">
        <v>2021</v>
      </c>
      <c r="AB69" s="14">
        <v>0.62181785702705383</v>
      </c>
      <c r="AC69" s="14">
        <v>0.57048213481903076</v>
      </c>
      <c r="AD69" s="15">
        <v>0.40377426147460938</v>
      </c>
      <c r="AE69" s="47"/>
      <c r="AF69" s="47"/>
      <c r="AG69" s="22">
        <f t="shared" ref="AG69:AG72" si="56">AB69-D6</f>
        <v>-0.21818214297294614</v>
      </c>
      <c r="AH69" s="22">
        <f t="shared" ref="AH69:AI72" si="57">E6-AC69</f>
        <v>-1.0482134819030708E-2</v>
      </c>
      <c r="AI69" s="22">
        <f t="shared" si="57"/>
        <v>-1.3774261474609362E-2</v>
      </c>
    </row>
    <row r="70" spans="13:35">
      <c r="M70" s="12">
        <v>8</v>
      </c>
      <c r="N70" s="13">
        <v>1202</v>
      </c>
      <c r="O70" s="13">
        <v>2170</v>
      </c>
      <c r="P70" s="14">
        <v>0.64835486809412635</v>
      </c>
      <c r="Q70" s="14">
        <v>0.41277489066123962</v>
      </c>
      <c r="R70" s="15">
        <v>0.25945869584878278</v>
      </c>
      <c r="S70" s="47"/>
      <c r="T70" s="47"/>
      <c r="U70" s="22">
        <f t="shared" si="54"/>
        <v>-0.22164513190587365</v>
      </c>
      <c r="V70" s="22">
        <f t="shared" si="55"/>
        <v>3.7225109338760387E-2</v>
      </c>
      <c r="W70" s="22">
        <f t="shared" si="55"/>
        <v>4.0541304151217206E-2</v>
      </c>
      <c r="Y70" s="12">
        <v>8</v>
      </c>
      <c r="Z70" s="13">
        <v>1187</v>
      </c>
      <c r="AA70" s="13">
        <v>2045</v>
      </c>
      <c r="AB70" s="14">
        <v>0.7333502471446991</v>
      </c>
      <c r="AC70" s="14">
        <v>0.26706463098526001</v>
      </c>
      <c r="AD70" s="15">
        <v>0.18944273144006729</v>
      </c>
      <c r="AE70" s="47"/>
      <c r="AF70" s="47"/>
      <c r="AG70" s="22">
        <f t="shared" si="56"/>
        <v>-0.1366497528553009</v>
      </c>
      <c r="AH70" s="22">
        <f t="shared" si="57"/>
        <v>0.18293536901474</v>
      </c>
      <c r="AI70" s="22">
        <f t="shared" si="57"/>
        <v>0.1105572685599327</v>
      </c>
    </row>
    <row r="71" spans="13:35">
      <c r="M71" s="12">
        <v>9</v>
      </c>
      <c r="N71" s="13">
        <v>1190</v>
      </c>
      <c r="O71" s="13">
        <v>2150</v>
      </c>
      <c r="P71" s="14">
        <v>0.20426344871520999</v>
      </c>
      <c r="Q71" s="14">
        <v>0.38985869288444519</v>
      </c>
      <c r="R71" s="15">
        <v>0.2473257631063461</v>
      </c>
      <c r="S71" s="47"/>
      <c r="T71" s="47"/>
      <c r="U71" s="22">
        <f t="shared" si="54"/>
        <v>-0.74573655128478999</v>
      </c>
      <c r="V71" s="22">
        <f t="shared" si="55"/>
        <v>-0.10985869288444516</v>
      </c>
      <c r="W71" s="22">
        <f t="shared" si="55"/>
        <v>-5.73257631063461E-2</v>
      </c>
      <c r="Y71" s="12">
        <v>9</v>
      </c>
      <c r="Z71" s="13">
        <v>1187</v>
      </c>
      <c r="AA71" s="13">
        <v>2045</v>
      </c>
      <c r="AB71" s="14">
        <v>0.18642276525497439</v>
      </c>
      <c r="AC71" s="14">
        <v>0.25037944316864008</v>
      </c>
      <c r="AD71" s="15">
        <v>0.17652799934148791</v>
      </c>
      <c r="AE71" s="47"/>
      <c r="AF71" s="47"/>
      <c r="AG71" s="22">
        <f t="shared" si="56"/>
        <v>-0.76357723474502559</v>
      </c>
      <c r="AH71" s="22">
        <f t="shared" si="57"/>
        <v>2.9620556831359945E-2</v>
      </c>
      <c r="AI71" s="22">
        <f t="shared" si="57"/>
        <v>1.347200065851209E-2</v>
      </c>
    </row>
    <row r="72" spans="13:35" ht="15.75" thickBot="1">
      <c r="M72" s="16">
        <v>10</v>
      </c>
      <c r="N72" s="17">
        <v>1164</v>
      </c>
      <c r="O72" s="17">
        <v>2120</v>
      </c>
      <c r="P72" s="18">
        <v>-9.5009485880533859E-2</v>
      </c>
      <c r="Q72" s="18">
        <v>0.32690218091011047</v>
      </c>
      <c r="R72" s="19">
        <v>0.20138046642144519</v>
      </c>
      <c r="S72" s="47"/>
      <c r="T72" s="47"/>
      <c r="U72" s="22">
        <f t="shared" si="54"/>
        <v>-1.0450094858805339</v>
      </c>
      <c r="V72" s="22">
        <f t="shared" si="55"/>
        <v>-7.6902180910110474E-2</v>
      </c>
      <c r="W72" s="22">
        <f t="shared" si="55"/>
        <v>-3.138046642144518E-2</v>
      </c>
      <c r="Y72" s="16">
        <v>10</v>
      </c>
      <c r="Z72" s="17">
        <v>1209</v>
      </c>
      <c r="AA72" s="17">
        <v>2051</v>
      </c>
      <c r="AB72" s="18">
        <v>-0.15882635116577151</v>
      </c>
      <c r="AC72" s="18">
        <v>0.21800883114337921</v>
      </c>
      <c r="AD72" s="19">
        <v>0.16498939196268719</v>
      </c>
      <c r="AE72" s="47"/>
      <c r="AF72" s="47"/>
      <c r="AG72" s="22">
        <f t="shared" si="56"/>
        <v>-1.1088263511657714</v>
      </c>
      <c r="AH72" s="22">
        <f t="shared" si="57"/>
        <v>3.1991168856620789E-2</v>
      </c>
      <c r="AI72" s="22">
        <f t="shared" si="57"/>
        <v>5.0106080373128192E-3</v>
      </c>
    </row>
    <row r="73" spans="13:35" ht="16.5" thickBot="1">
      <c r="M73" s="132" t="s">
        <v>27</v>
      </c>
      <c r="N73" s="132"/>
      <c r="O73" s="132"/>
      <c r="P73" s="20">
        <f>AVERAGE(P68:P72)</f>
        <v>0.48637252847353618</v>
      </c>
      <c r="Q73" s="20">
        <f t="shared" ref="Q73:R73" si="58">AVERAGE(Q68:Q72)</f>
        <v>0.45972189903259275</v>
      </c>
      <c r="R73" s="20">
        <f t="shared" si="58"/>
        <v>0.30595897634824115</v>
      </c>
      <c r="S73" s="47"/>
      <c r="T73" s="6" t="s">
        <v>19</v>
      </c>
      <c r="U73" s="23">
        <f>SUM(U68:U72)</f>
        <v>-2.068137357632319</v>
      </c>
      <c r="V73" s="23">
        <f t="shared" ref="V73:W73" si="59">SUM(V68:V72)</f>
        <v>-0.21860949516296369</v>
      </c>
      <c r="W73" s="23">
        <f t="shared" si="59"/>
        <v>-8.9794881741205756E-2</v>
      </c>
      <c r="Y73" s="132" t="s">
        <v>27</v>
      </c>
      <c r="Z73" s="132"/>
      <c r="AA73" s="132"/>
      <c r="AB73" s="20">
        <f>AVERAGE(AB68:AB72)</f>
        <v>0.45551325678825377</v>
      </c>
      <c r="AC73" s="20">
        <f t="shared" ref="AC73:AD73" si="60">AVERAGE(AC68:AC72)</f>
        <v>0.36218955814838411</v>
      </c>
      <c r="AD73" s="20">
        <f t="shared" si="60"/>
        <v>0.2584565063317617</v>
      </c>
      <c r="AE73" s="47"/>
      <c r="AF73" s="6" t="s">
        <v>19</v>
      </c>
      <c r="AG73" s="23">
        <f>SUM(AG68:AG72)</f>
        <v>-2.2224337160587311</v>
      </c>
      <c r="AH73" s="23">
        <f t="shared" ref="AH73:AI73" si="61">SUM(AH68:AH72)</f>
        <v>0.26905220925807971</v>
      </c>
      <c r="AI73" s="23">
        <f t="shared" si="61"/>
        <v>0.14771746834119154</v>
      </c>
    </row>
  </sheetData>
  <mergeCells count="52">
    <mergeCell ref="AG66:AI66"/>
    <mergeCell ref="Y73:AA73"/>
    <mergeCell ref="AG47:AI47"/>
    <mergeCell ref="Y54:AA54"/>
    <mergeCell ref="Y56:AD56"/>
    <mergeCell ref="AG56:AI56"/>
    <mergeCell ref="Y63:AA63"/>
    <mergeCell ref="M63:O63"/>
    <mergeCell ref="M66:R66"/>
    <mergeCell ref="U66:W66"/>
    <mergeCell ref="M73:O73"/>
    <mergeCell ref="Y44:AD45"/>
    <mergeCell ref="Y47:AD47"/>
    <mergeCell ref="Y66:AD66"/>
    <mergeCell ref="M47:R47"/>
    <mergeCell ref="U47:W47"/>
    <mergeCell ref="M54:O54"/>
    <mergeCell ref="M56:R56"/>
    <mergeCell ref="U56:W56"/>
    <mergeCell ref="Y31:AA31"/>
    <mergeCell ref="Y34:AD34"/>
    <mergeCell ref="AG34:AI34"/>
    <mergeCell ref="Y41:AA41"/>
    <mergeCell ref="M44:R45"/>
    <mergeCell ref="M31:O31"/>
    <mergeCell ref="M34:R34"/>
    <mergeCell ref="U34:W34"/>
    <mergeCell ref="M41:O41"/>
    <mergeCell ref="Y12:AD13"/>
    <mergeCell ref="Y15:AD15"/>
    <mergeCell ref="AG15:AI15"/>
    <mergeCell ref="Y22:AA22"/>
    <mergeCell ref="Y24:AD24"/>
    <mergeCell ref="AG24:AI24"/>
    <mergeCell ref="M12:R13"/>
    <mergeCell ref="M15:R15"/>
    <mergeCell ref="U15:W15"/>
    <mergeCell ref="M22:O22"/>
    <mergeCell ref="M24:R24"/>
    <mergeCell ref="U24:W24"/>
    <mergeCell ref="A34:F34"/>
    <mergeCell ref="I34:K34"/>
    <mergeCell ref="A41:C41"/>
    <mergeCell ref="A3:F3"/>
    <mergeCell ref="A10:C10"/>
    <mergeCell ref="A15:F15"/>
    <mergeCell ref="I15:K15"/>
    <mergeCell ref="A24:F24"/>
    <mergeCell ref="I24:K24"/>
    <mergeCell ref="A12:F13"/>
    <mergeCell ref="A31:C31"/>
    <mergeCell ref="A22:C22"/>
  </mergeCells>
  <conditionalFormatting sqref="I17:K21">
    <cfRule type="cellIs" dxfId="89" priority="117" operator="greaterThan">
      <formula>0</formula>
    </cfRule>
    <cfRule type="cellIs" dxfId="88" priority="118" operator="lessThan">
      <formula>0</formula>
    </cfRule>
    <cfRule type="cellIs" dxfId="87" priority="119" operator="greaterThan">
      <formula>0</formula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:K22">
    <cfRule type="cellIs" dxfId="86" priority="113" operator="greaterThan">
      <formula>0</formula>
    </cfRule>
    <cfRule type="cellIs" dxfId="85" priority="114" operator="lessThan">
      <formula>0</formula>
    </cfRule>
    <cfRule type="cellIs" dxfId="84" priority="115" operator="greaterThan">
      <formula>0</formula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6:K40">
    <cfRule type="cellIs" dxfId="83" priority="109" operator="greaterThan">
      <formula>0</formula>
    </cfRule>
    <cfRule type="cellIs" dxfId="82" priority="110" operator="lessThan">
      <formula>0</formula>
    </cfRule>
    <cfRule type="cellIs" dxfId="81" priority="111" operator="greaterThan">
      <formula>0</formula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1:K41">
    <cfRule type="cellIs" dxfId="80" priority="105" operator="greaterThan">
      <formula>0</formula>
    </cfRule>
    <cfRule type="cellIs" dxfId="79" priority="106" operator="lessThan">
      <formula>0</formula>
    </cfRule>
    <cfRule type="cellIs" dxfId="78" priority="107" operator="greaterThan">
      <formula>0</formula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7:W21">
    <cfRule type="cellIs" dxfId="77" priority="101" operator="greaterThan">
      <formula>0</formula>
    </cfRule>
    <cfRule type="cellIs" dxfId="76" priority="102" operator="lessThan">
      <formula>0</formula>
    </cfRule>
    <cfRule type="cellIs" dxfId="75" priority="103" operator="greaterThan">
      <formula>0</formula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2:W22">
    <cfRule type="cellIs" dxfId="74" priority="97" operator="greaterThan">
      <formula>0</formula>
    </cfRule>
    <cfRule type="cellIs" dxfId="73" priority="98" operator="lessThan">
      <formula>0</formula>
    </cfRule>
    <cfRule type="cellIs" dxfId="72" priority="99" operator="greaterThan">
      <formula>0</formula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6:W30">
    <cfRule type="cellIs" dxfId="71" priority="93" operator="greaterThan">
      <formula>0</formula>
    </cfRule>
    <cfRule type="cellIs" dxfId="70" priority="94" operator="lessThan">
      <formula>0</formula>
    </cfRule>
    <cfRule type="cellIs" dxfId="69" priority="95" operator="greaterThan">
      <formula>0</formula>
    </cfRule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1:W31">
    <cfRule type="cellIs" dxfId="68" priority="89" operator="greaterThan">
      <formula>0</formula>
    </cfRule>
    <cfRule type="cellIs" dxfId="67" priority="90" operator="lessThan">
      <formula>0</formula>
    </cfRule>
    <cfRule type="cellIs" dxfId="66" priority="91" operator="greaterThan">
      <formula>0</formula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6:W40">
    <cfRule type="cellIs" dxfId="65" priority="85" operator="greaterThan">
      <formula>0</formula>
    </cfRule>
    <cfRule type="cellIs" dxfId="64" priority="86" operator="lessThan">
      <formula>0</formula>
    </cfRule>
    <cfRule type="cellIs" dxfId="63" priority="87" operator="greaterThan">
      <formula>0</formula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1:W41">
    <cfRule type="cellIs" dxfId="62" priority="81" operator="greaterThan">
      <formula>0</formula>
    </cfRule>
    <cfRule type="cellIs" dxfId="61" priority="82" operator="lessThan">
      <formula>0</formula>
    </cfRule>
    <cfRule type="cellIs" dxfId="60" priority="83" operator="greaterThan">
      <formula>0</formula>
    </cfRule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6:K30">
    <cfRule type="cellIs" dxfId="59" priority="77" operator="greaterThan">
      <formula>0</formula>
    </cfRule>
    <cfRule type="cellIs" dxfId="58" priority="78" operator="lessThan">
      <formula>0</formula>
    </cfRule>
    <cfRule type="cellIs" dxfId="57" priority="79" operator="greaterThan">
      <formula>0</formula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1:K31">
    <cfRule type="cellIs" dxfId="56" priority="73" operator="greaterThan">
      <formula>0</formula>
    </cfRule>
    <cfRule type="cellIs" dxfId="55" priority="74" operator="lessThan">
      <formula>0</formula>
    </cfRule>
    <cfRule type="cellIs" dxfId="54" priority="75" operator="greaterThan">
      <formula>0</formula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7:AI21">
    <cfRule type="cellIs" dxfId="53" priority="69" operator="greaterThan">
      <formula>0</formula>
    </cfRule>
    <cfRule type="cellIs" dxfId="52" priority="70" operator="lessThan">
      <formula>0</formula>
    </cfRule>
    <cfRule type="cellIs" dxfId="51" priority="71" operator="greaterThan">
      <formula>0</formula>
    </cfRule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2:AI22">
    <cfRule type="cellIs" dxfId="50" priority="65" operator="greaterThan">
      <formula>0</formula>
    </cfRule>
    <cfRule type="cellIs" dxfId="49" priority="66" operator="lessThan">
      <formula>0</formula>
    </cfRule>
    <cfRule type="cellIs" dxfId="48" priority="67" operator="greaterThan">
      <formula>0</formula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6:AI30">
    <cfRule type="cellIs" dxfId="47" priority="61" operator="greaterThan">
      <formula>0</formula>
    </cfRule>
    <cfRule type="cellIs" dxfId="46" priority="62" operator="lessThan">
      <formula>0</formula>
    </cfRule>
    <cfRule type="cellIs" dxfId="45" priority="63" operator="greaterThan">
      <formula>0</formula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1:AI31">
    <cfRule type="cellIs" dxfId="44" priority="57" operator="greaterThan">
      <formula>0</formula>
    </cfRule>
    <cfRule type="cellIs" dxfId="43" priority="58" operator="lessThan">
      <formula>0</formula>
    </cfRule>
    <cfRule type="cellIs" dxfId="42" priority="59" operator="greaterThan">
      <formula>0</formula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6:AI40">
    <cfRule type="cellIs" dxfId="41" priority="53" operator="greaterThan">
      <formula>0</formula>
    </cfRule>
    <cfRule type="cellIs" dxfId="40" priority="54" operator="lessThan">
      <formula>0</formula>
    </cfRule>
    <cfRule type="cellIs" dxfId="39" priority="55" operator="greaterThan">
      <formula>0</formula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41:AI41">
    <cfRule type="cellIs" dxfId="38" priority="49" operator="greaterThan">
      <formula>0</formula>
    </cfRule>
    <cfRule type="cellIs" dxfId="37" priority="50" operator="lessThan">
      <formula>0</formula>
    </cfRule>
    <cfRule type="cellIs" dxfId="36" priority="51" operator="greaterThan">
      <formula>0</formula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9:W53">
    <cfRule type="cellIs" dxfId="35" priority="45" operator="greaterThan">
      <formula>0</formula>
    </cfRule>
    <cfRule type="cellIs" dxfId="34" priority="46" operator="lessThan">
      <formula>0</formula>
    </cfRule>
    <cfRule type="cellIs" dxfId="33" priority="47" operator="greaterThan">
      <formula>0</formula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4:W54">
    <cfRule type="cellIs" dxfId="32" priority="41" operator="greaterThan">
      <formula>0</formula>
    </cfRule>
    <cfRule type="cellIs" dxfId="31" priority="42" operator="lessThan">
      <formula>0</formula>
    </cfRule>
    <cfRule type="cellIs" dxfId="30" priority="43" operator="greaterThan">
      <formula>0</formula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8:W62">
    <cfRule type="cellIs" dxfId="29" priority="37" operator="greaterThan">
      <formula>0</formula>
    </cfRule>
    <cfRule type="cellIs" dxfId="28" priority="38" operator="lessThan">
      <formula>0</formula>
    </cfRule>
    <cfRule type="cellIs" dxfId="27" priority="39" operator="greaterThan">
      <formula>0</formula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3:W63">
    <cfRule type="cellIs" dxfId="26" priority="33" operator="greaterThan">
      <formula>0</formula>
    </cfRule>
    <cfRule type="cellIs" dxfId="25" priority="34" operator="lessThan">
      <formula>0</formula>
    </cfRule>
    <cfRule type="cellIs" dxfId="24" priority="35" operator="greaterThan">
      <formula>0</formula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8:W72">
    <cfRule type="cellIs" dxfId="23" priority="29" operator="greaterThan">
      <formula>0</formula>
    </cfRule>
    <cfRule type="cellIs" dxfId="22" priority="30" operator="lessThan">
      <formula>0</formula>
    </cfRule>
    <cfRule type="cellIs" dxfId="21" priority="31" operator="greaterThan">
      <formula>0</formula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3:W73">
    <cfRule type="cellIs" dxfId="20" priority="25" operator="greaterThan">
      <formula>0</formula>
    </cfRule>
    <cfRule type="cellIs" dxfId="19" priority="26" operator="lessThan">
      <formula>0</formula>
    </cfRule>
    <cfRule type="cellIs" dxfId="18" priority="27" operator="greaterThan">
      <formula>0</formula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49:AI53">
    <cfRule type="cellIs" dxfId="17" priority="21" operator="greaterThan">
      <formula>0</formula>
    </cfRule>
    <cfRule type="cellIs" dxfId="16" priority="22" operator="lessThan">
      <formula>0</formula>
    </cfRule>
    <cfRule type="cellIs" dxfId="15" priority="23" operator="greaterThan">
      <formula>0</formula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4:AI54">
    <cfRule type="cellIs" dxfId="14" priority="17" operator="greaterThan">
      <formula>0</formula>
    </cfRule>
    <cfRule type="cellIs" dxfId="13" priority="18" operator="lessThan">
      <formula>0</formula>
    </cfRule>
    <cfRule type="cellIs" dxfId="12" priority="19" operator="greaterThan">
      <formula>0</formula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8:AI62">
    <cfRule type="cellIs" dxfId="11" priority="13" operator="greaterThan">
      <formula>0</formula>
    </cfRule>
    <cfRule type="cellIs" dxfId="10" priority="14" operator="lessThan">
      <formula>0</formula>
    </cfRule>
    <cfRule type="cellIs" dxfId="9" priority="15" operator="greaterThan">
      <formula>0</formula>
    </cfRule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63:AI63">
    <cfRule type="cellIs" dxfId="8" priority="9" operator="greaterThan">
      <formula>0</formula>
    </cfRule>
    <cfRule type="cellIs" dxfId="7" priority="10" operator="lessThan">
      <formula>0</formula>
    </cfRule>
    <cfRule type="cellIs" dxfId="6" priority="11" operator="greaterThan">
      <formula>0</formula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68:AI72">
    <cfRule type="cellIs" dxfId="5" priority="5" operator="greaterThan">
      <formula>0</formula>
    </cfRule>
    <cfRule type="cellIs" dxfId="4" priority="6" operator="lessThan">
      <formula>0</formula>
    </cfRule>
    <cfRule type="cellIs" dxfId="3" priority="7" operator="greaterThan">
      <formula>0</formula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73:AI73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greaterThan">
      <formula>0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Описание</vt:lpstr>
      <vt:lpstr>Смещение ДМ</vt:lpstr>
      <vt:lpstr>Температура на глубине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Эдик Морозов</dc:creator>
  <cp:lastModifiedBy>Nikolay</cp:lastModifiedBy>
  <dcterms:created xsi:type="dcterms:W3CDTF">2015-06-05T18:17:20Z</dcterms:created>
  <dcterms:modified xsi:type="dcterms:W3CDTF">2026-04-09T17:19:56Z</dcterms:modified>
</cp:coreProperties>
</file>