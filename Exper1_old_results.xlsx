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Pyproject\Ecolog\03.05\Results_experiment_1\"/>
    </mc:Choice>
  </mc:AlternateContent>
  <bookViews>
    <workbookView xWindow="0" yWindow="0" windowWidth="38400" windowHeight="177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1" l="1"/>
  <c r="J33" i="1" s="1"/>
  <c r="K25" i="1"/>
  <c r="J26" i="1"/>
  <c r="K26" i="1"/>
  <c r="J27" i="1"/>
  <c r="K27" i="1"/>
  <c r="J28" i="1"/>
  <c r="K28" i="1"/>
  <c r="J29" i="1"/>
  <c r="K29" i="1"/>
  <c r="K33" i="1" s="1"/>
  <c r="J30" i="1"/>
  <c r="K30" i="1"/>
  <c r="J31" i="1"/>
  <c r="K31" i="1"/>
  <c r="J32" i="1"/>
  <c r="K32" i="1"/>
  <c r="I26" i="1"/>
  <c r="I27" i="1"/>
  <c r="I28" i="1"/>
  <c r="I29" i="1"/>
  <c r="I30" i="1"/>
  <c r="I31" i="1"/>
  <c r="I32" i="1"/>
  <c r="I25" i="1"/>
  <c r="I33" i="1" s="1"/>
  <c r="J14" i="1"/>
  <c r="J22" i="1" s="1"/>
  <c r="K14" i="1"/>
  <c r="K22" i="1" s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I15" i="1"/>
  <c r="I16" i="1"/>
  <c r="I17" i="1"/>
  <c r="I18" i="1"/>
  <c r="I19" i="1"/>
  <c r="I20" i="1"/>
  <c r="I21" i="1"/>
  <c r="I14" i="1"/>
  <c r="J3" i="1"/>
  <c r="K3" i="1"/>
  <c r="K11" i="1" s="1"/>
  <c r="J4" i="1"/>
  <c r="K4" i="1"/>
  <c r="J5" i="1"/>
  <c r="J11" i="1" s="1"/>
  <c r="K5" i="1"/>
  <c r="J6" i="1"/>
  <c r="K6" i="1"/>
  <c r="J7" i="1"/>
  <c r="K7" i="1"/>
  <c r="J8" i="1"/>
  <c r="K8" i="1"/>
  <c r="J9" i="1"/>
  <c r="K9" i="1"/>
  <c r="J10" i="1"/>
  <c r="K10" i="1"/>
  <c r="I4" i="1"/>
  <c r="I11" i="1" s="1"/>
  <c r="I5" i="1"/>
  <c r="I6" i="1"/>
  <c r="I7" i="1"/>
  <c r="I8" i="1"/>
  <c r="I9" i="1"/>
  <c r="I10" i="1"/>
  <c r="I3" i="1"/>
  <c r="I22" i="1" l="1"/>
</calcChain>
</file>

<file path=xl/sharedStrings.xml><?xml version="1.0" encoding="utf-8"?>
<sst xmlns="http://schemas.openxmlformats.org/spreadsheetml/2006/main" count="72" uniqueCount="21">
  <si>
    <t>11 цикл</t>
  </si>
  <si>
    <t>Soil_types</t>
  </si>
  <si>
    <t>DM</t>
  </si>
  <si>
    <t>Rows</t>
  </si>
  <si>
    <t>R2</t>
  </si>
  <si>
    <t>RMSE</t>
  </si>
  <si>
    <t>MAE</t>
  </si>
  <si>
    <t>Old -New</t>
  </si>
  <si>
    <t xml:space="preserve"> New - Old</t>
  </si>
  <si>
    <t>1111112222222222</t>
  </si>
  <si>
    <t>1111113333322222</t>
  </si>
  <si>
    <t>1111114442222222</t>
  </si>
  <si>
    <t>1111122222222222</t>
  </si>
  <si>
    <t>1111122222333222</t>
  </si>
  <si>
    <t>1111144422222222</t>
  </si>
  <si>
    <t>1114422222322222</t>
  </si>
  <si>
    <t>3364444555550000</t>
  </si>
  <si>
    <t>ИТОГО</t>
  </si>
  <si>
    <t>12 цикл</t>
  </si>
  <si>
    <t>11 + 12 циклы</t>
  </si>
  <si>
    <t>Результаты Федора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</si>
</sst>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3" borderId="1" xfId="0" applyFill="1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1" fillId="2" borderId="0" xfId="1" applyAlignment="1">
      <alignment horizontal="center"/>
    </xf>
  </cellXfs>
  <cellStyles count="2">
    <cellStyle name="Акцент5" xfId="1" builtinId="45"/>
    <cellStyle name="Обычный" xfId="0" builtinId="0"/>
  </cellStyles>
  <dxfs count="21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workbookViewId="0">
      <selection activeCell="P23" sqref="P23"/>
    </sheetView>
  </sheetViews>
  <sheetFormatPr defaultRowHeight="15" x14ac:dyDescent="0.25"/>
  <cols>
    <col min="9" max="11" width="10.28515625" bestFit="1" customWidth="1"/>
  </cols>
  <sheetData>
    <row r="1" spans="1:11" x14ac:dyDescent="0.25">
      <c r="B1" s="1" t="s">
        <v>0</v>
      </c>
      <c r="C1" s="1"/>
      <c r="D1" s="1"/>
      <c r="E1" s="1"/>
      <c r="F1" s="1"/>
      <c r="G1" s="1"/>
    </row>
    <row r="2" spans="1:11" x14ac:dyDescent="0.25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I2" s="3" t="s">
        <v>7</v>
      </c>
      <c r="J2" s="3" t="s">
        <v>8</v>
      </c>
      <c r="K2" s="3" t="s">
        <v>8</v>
      </c>
    </row>
    <row r="3" spans="1:11" x14ac:dyDescent="0.25">
      <c r="A3" s="2">
        <v>7</v>
      </c>
      <c r="B3" t="s">
        <v>9</v>
      </c>
      <c r="C3">
        <v>0</v>
      </c>
      <c r="D3">
        <v>497</v>
      </c>
      <c r="E3">
        <v>0.75177651643753052</v>
      </c>
      <c r="F3">
        <v>3.4586939811706539</v>
      </c>
      <c r="G3">
        <v>2.594048023223877</v>
      </c>
      <c r="I3" s="3">
        <f>E3-E37</f>
        <v>0.42602527141571039</v>
      </c>
      <c r="J3" s="3">
        <f t="shared" ref="J3:K10" si="0">F3-F37</f>
        <v>-2.1268706321716313</v>
      </c>
      <c r="K3" s="3">
        <f t="shared" si="0"/>
        <v>-1.3379530906677251</v>
      </c>
    </row>
    <row r="4" spans="1:11" x14ac:dyDescent="0.25">
      <c r="A4" s="2">
        <v>2</v>
      </c>
      <c r="B4" t="s">
        <v>10</v>
      </c>
      <c r="C4">
        <v>0</v>
      </c>
      <c r="D4">
        <v>214</v>
      </c>
      <c r="E4">
        <v>0.83746546506881714</v>
      </c>
      <c r="F4">
        <v>5.540647029876709</v>
      </c>
      <c r="G4">
        <v>4.3791003227233887</v>
      </c>
      <c r="I4" s="3">
        <f t="shared" ref="I4:I10" si="1">E4-E38</f>
        <v>0.77924370765686035</v>
      </c>
      <c r="J4" s="3">
        <f t="shared" si="0"/>
        <v>0.69566249847412109</v>
      </c>
      <c r="K4" s="3">
        <f t="shared" si="0"/>
        <v>0.53639149665832564</v>
      </c>
    </row>
    <row r="5" spans="1:11" x14ac:dyDescent="0.25">
      <c r="A5" s="2">
        <v>1</v>
      </c>
      <c r="B5" t="s">
        <v>11</v>
      </c>
      <c r="C5">
        <v>0</v>
      </c>
      <c r="D5">
        <v>196</v>
      </c>
      <c r="E5">
        <v>0.69445967674255371</v>
      </c>
      <c r="F5">
        <v>4.134547233581543</v>
      </c>
      <c r="G5">
        <v>2.92132568359375</v>
      </c>
      <c r="I5" s="3">
        <f t="shared" si="1"/>
        <v>0.56778669357299805</v>
      </c>
      <c r="J5" s="3">
        <f t="shared" si="0"/>
        <v>2.9725933074951172</v>
      </c>
      <c r="K5" s="3">
        <f t="shared" si="0"/>
        <v>1.9557676315307617</v>
      </c>
    </row>
    <row r="6" spans="1:11" x14ac:dyDescent="0.25">
      <c r="A6" s="2">
        <v>6</v>
      </c>
      <c r="B6" t="s">
        <v>12</v>
      </c>
      <c r="C6">
        <v>0</v>
      </c>
      <c r="D6">
        <v>459</v>
      </c>
      <c r="E6">
        <v>0.84307467937469482</v>
      </c>
      <c r="F6">
        <v>8.4222278594970703</v>
      </c>
      <c r="G6">
        <v>5.0025873184204102</v>
      </c>
      <c r="I6" s="3">
        <f t="shared" si="1"/>
        <v>0.76647228002548218</v>
      </c>
      <c r="J6" s="3">
        <f t="shared" si="0"/>
        <v>4.6434280872344971</v>
      </c>
      <c r="K6" s="3">
        <f t="shared" si="0"/>
        <v>2.0531747341156001</v>
      </c>
    </row>
    <row r="7" spans="1:11" x14ac:dyDescent="0.25">
      <c r="A7" s="2">
        <v>0</v>
      </c>
      <c r="B7" t="s">
        <v>13</v>
      </c>
      <c r="C7">
        <v>0</v>
      </c>
      <c r="D7">
        <v>65</v>
      </c>
      <c r="E7">
        <v>0.90683162212371826</v>
      </c>
      <c r="F7">
        <v>5.636681079864502</v>
      </c>
      <c r="G7">
        <v>3.910000085830688</v>
      </c>
      <c r="I7" s="3">
        <f t="shared" si="1"/>
        <v>0.88138270378112793</v>
      </c>
      <c r="J7" s="3">
        <f t="shared" si="0"/>
        <v>-21.756499767303467</v>
      </c>
      <c r="K7" s="3">
        <f t="shared" si="0"/>
        <v>-8.7600905895233119</v>
      </c>
    </row>
    <row r="8" spans="1:11" x14ac:dyDescent="0.25">
      <c r="A8" s="2">
        <v>3</v>
      </c>
      <c r="B8" t="s">
        <v>14</v>
      </c>
      <c r="C8">
        <v>0</v>
      </c>
      <c r="D8">
        <v>219</v>
      </c>
      <c r="E8">
        <v>0.42454731464385992</v>
      </c>
      <c r="F8">
        <v>4.0632500648498544</v>
      </c>
      <c r="G8">
        <v>3.1482067108154301</v>
      </c>
      <c r="I8" s="3">
        <f t="shared" si="1"/>
        <v>1.9131983518600468</v>
      </c>
      <c r="J8" s="3">
        <f t="shared" si="0"/>
        <v>-0.95274353027343661</v>
      </c>
      <c r="K8" s="3">
        <f t="shared" si="0"/>
        <v>-0.85433912277221546</v>
      </c>
    </row>
    <row r="9" spans="1:11" x14ac:dyDescent="0.25">
      <c r="A9" s="2">
        <v>5</v>
      </c>
      <c r="B9" t="s">
        <v>15</v>
      </c>
      <c r="C9">
        <v>0</v>
      </c>
      <c r="D9">
        <v>363</v>
      </c>
      <c r="E9">
        <v>0.74446994066238403</v>
      </c>
      <c r="F9">
        <v>3.608073472976685</v>
      </c>
      <c r="G9">
        <v>2.8981442451477051</v>
      </c>
      <c r="I9" s="3">
        <f t="shared" si="1"/>
        <v>0.68131935596466064</v>
      </c>
      <c r="J9" s="3">
        <f t="shared" si="0"/>
        <v>-0.81456398963928178</v>
      </c>
      <c r="K9" s="3">
        <f t="shared" si="0"/>
        <v>-0.62318515777587891</v>
      </c>
    </row>
    <row r="10" spans="1:11" ht="15.75" thickBot="1" x14ac:dyDescent="0.3">
      <c r="A10" s="2">
        <v>4</v>
      </c>
      <c r="B10" t="s">
        <v>16</v>
      </c>
      <c r="C10">
        <v>0</v>
      </c>
      <c r="D10">
        <v>360</v>
      </c>
      <c r="E10">
        <v>0.88110440969467163</v>
      </c>
      <c r="F10">
        <v>13.81996917724609</v>
      </c>
      <c r="G10">
        <v>7.8497109413146973</v>
      </c>
      <c r="I10" s="3">
        <f t="shared" si="1"/>
        <v>0.91451418399810791</v>
      </c>
      <c r="J10" s="3">
        <f t="shared" si="0"/>
        <v>-5.9469146728515696</v>
      </c>
      <c r="K10" s="3">
        <f t="shared" si="0"/>
        <v>-0.79527664184570313</v>
      </c>
    </row>
    <row r="11" spans="1:11" ht="15.75" thickBot="1" x14ac:dyDescent="0.3">
      <c r="H11" s="4" t="s">
        <v>17</v>
      </c>
      <c r="I11" s="5">
        <f>SUM(I3:I10)</f>
        <v>6.9299425482749939</v>
      </c>
      <c r="J11" s="5">
        <f>SUM(J3:J10)</f>
        <v>-23.285908699035652</v>
      </c>
      <c r="K11" s="6">
        <f>SUM(K3:K10)</f>
        <v>-7.825510740280146</v>
      </c>
    </row>
    <row r="12" spans="1:11" x14ac:dyDescent="0.25">
      <c r="A12" s="7"/>
      <c r="B12" s="1" t="s">
        <v>18</v>
      </c>
      <c r="C12" s="1"/>
      <c r="D12" s="1"/>
      <c r="E12" s="1"/>
      <c r="F12" s="1"/>
      <c r="G12" s="1"/>
    </row>
    <row r="13" spans="1:11" x14ac:dyDescent="0.25"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I13" s="3" t="s">
        <v>7</v>
      </c>
      <c r="J13" s="3" t="s">
        <v>8</v>
      </c>
      <c r="K13" s="3" t="s">
        <v>8</v>
      </c>
    </row>
    <row r="14" spans="1:11" x14ac:dyDescent="0.25">
      <c r="A14" s="2">
        <v>7</v>
      </c>
      <c r="B14" t="s">
        <v>9</v>
      </c>
      <c r="C14">
        <v>485</v>
      </c>
      <c r="D14">
        <v>485</v>
      </c>
      <c r="E14">
        <v>0.7545933723449707</v>
      </c>
      <c r="F14">
        <v>3.8916540145874019</v>
      </c>
      <c r="G14">
        <v>2.9429669380187988</v>
      </c>
      <c r="I14" s="3">
        <f>E14-E37</f>
        <v>0.42884212732315058</v>
      </c>
      <c r="J14" s="3">
        <f t="shared" ref="J14:K21" si="2">F14-F37</f>
        <v>-1.6939105987548833</v>
      </c>
      <c r="K14" s="3">
        <f t="shared" si="2"/>
        <v>-0.98903417587280318</v>
      </c>
    </row>
    <row r="15" spans="1:11" x14ac:dyDescent="0.25">
      <c r="A15" s="2">
        <v>1</v>
      </c>
      <c r="B15" t="s">
        <v>10</v>
      </c>
      <c r="C15">
        <v>203</v>
      </c>
      <c r="D15">
        <v>203</v>
      </c>
      <c r="E15">
        <v>0.47385340929031372</v>
      </c>
      <c r="F15">
        <v>5.087860107421875</v>
      </c>
      <c r="G15">
        <v>4.1314077377319336</v>
      </c>
      <c r="I15" s="3">
        <f t="shared" ref="I15:I21" si="3">E15-E38</f>
        <v>0.41563165187835693</v>
      </c>
      <c r="J15" s="3">
        <f t="shared" si="2"/>
        <v>0.24287557601928711</v>
      </c>
      <c r="K15" s="3">
        <f t="shared" si="2"/>
        <v>0.28869891166687056</v>
      </c>
    </row>
    <row r="16" spans="1:11" x14ac:dyDescent="0.25">
      <c r="A16" s="2">
        <v>3</v>
      </c>
      <c r="B16" t="s">
        <v>11</v>
      </c>
      <c r="C16">
        <v>280</v>
      </c>
      <c r="D16">
        <v>280</v>
      </c>
      <c r="E16">
        <v>0.48827075958251948</v>
      </c>
      <c r="F16">
        <v>5.5204672813415527</v>
      </c>
      <c r="G16">
        <v>4.233731746673584</v>
      </c>
      <c r="I16" s="3">
        <f t="shared" si="3"/>
        <v>0.36159777641296376</v>
      </c>
      <c r="J16" s="3">
        <f t="shared" si="2"/>
        <v>4.358513355255127</v>
      </c>
      <c r="K16" s="3">
        <f t="shared" si="2"/>
        <v>3.2681736946105957</v>
      </c>
    </row>
    <row r="17" spans="1:11" x14ac:dyDescent="0.25">
      <c r="A17" s="2">
        <v>5</v>
      </c>
      <c r="B17" t="s">
        <v>12</v>
      </c>
      <c r="C17">
        <v>363</v>
      </c>
      <c r="D17">
        <v>363</v>
      </c>
      <c r="E17">
        <v>0.69231891632080078</v>
      </c>
      <c r="F17">
        <v>6.6884956359863281</v>
      </c>
      <c r="G17">
        <v>5.3038234710693359</v>
      </c>
      <c r="I17" s="3">
        <f t="shared" si="3"/>
        <v>0.61571651697158813</v>
      </c>
      <c r="J17" s="3">
        <f t="shared" si="2"/>
        <v>2.9096958637237553</v>
      </c>
      <c r="K17" s="3">
        <f t="shared" si="2"/>
        <v>2.3544108867645259</v>
      </c>
    </row>
    <row r="18" spans="1:11" x14ac:dyDescent="0.25">
      <c r="A18" s="2">
        <v>0</v>
      </c>
      <c r="B18" t="s">
        <v>13</v>
      </c>
      <c r="C18">
        <v>63</v>
      </c>
      <c r="D18">
        <v>63</v>
      </c>
      <c r="E18">
        <v>0.8710823655128479</v>
      </c>
      <c r="F18">
        <v>6.3261613845825204</v>
      </c>
      <c r="G18">
        <v>4.1770110130310059</v>
      </c>
      <c r="I18" s="3">
        <f t="shared" si="3"/>
        <v>0.84563344717025757</v>
      </c>
      <c r="J18" s="3">
        <f t="shared" si="2"/>
        <v>-21.067019462585449</v>
      </c>
      <c r="K18" s="3">
        <f t="shared" si="2"/>
        <v>-8.4930796623229945</v>
      </c>
    </row>
    <row r="19" spans="1:11" x14ac:dyDescent="0.25">
      <c r="A19" s="2">
        <v>2</v>
      </c>
      <c r="B19" t="s">
        <v>14</v>
      </c>
      <c r="C19">
        <v>221</v>
      </c>
      <c r="D19">
        <v>221</v>
      </c>
      <c r="E19">
        <v>0.72667956352233887</v>
      </c>
      <c r="F19">
        <v>17.66380500793457</v>
      </c>
      <c r="G19">
        <v>5.2826390266418457</v>
      </c>
      <c r="I19" s="3">
        <f t="shared" si="3"/>
        <v>2.2153306007385258</v>
      </c>
      <c r="J19" s="3">
        <f t="shared" si="2"/>
        <v>12.647811412811279</v>
      </c>
      <c r="K19" s="3">
        <f t="shared" si="2"/>
        <v>1.2800931930542001</v>
      </c>
    </row>
    <row r="20" spans="1:11" x14ac:dyDescent="0.25">
      <c r="A20" s="2">
        <v>4</v>
      </c>
      <c r="B20" t="s">
        <v>15</v>
      </c>
      <c r="C20">
        <v>352</v>
      </c>
      <c r="D20">
        <v>352</v>
      </c>
      <c r="E20">
        <v>0.74099862575531006</v>
      </c>
      <c r="F20">
        <v>3.578049898147583</v>
      </c>
      <c r="G20">
        <v>2.7211987972259521</v>
      </c>
      <c r="I20" s="3">
        <f t="shared" si="3"/>
        <v>0.67784804105758667</v>
      </c>
      <c r="J20" s="3">
        <f t="shared" si="2"/>
        <v>-0.84458756446838379</v>
      </c>
      <c r="K20" s="3">
        <f t="shared" si="2"/>
        <v>-0.80013060569763184</v>
      </c>
    </row>
    <row r="21" spans="1:11" ht="15.75" thickBot="1" x14ac:dyDescent="0.3">
      <c r="A21" s="2">
        <v>6</v>
      </c>
      <c r="B21" t="s">
        <v>16</v>
      </c>
      <c r="C21">
        <v>386</v>
      </c>
      <c r="D21">
        <v>386</v>
      </c>
      <c r="E21">
        <v>0.85998284816741943</v>
      </c>
      <c r="F21">
        <v>10.651425361633301</v>
      </c>
      <c r="G21">
        <v>6.2863898277282706</v>
      </c>
      <c r="I21" s="3">
        <f t="shared" si="3"/>
        <v>0.89339262247085571</v>
      </c>
      <c r="J21" s="3">
        <f t="shared" si="2"/>
        <v>-9.115458488464359</v>
      </c>
      <c r="K21" s="3">
        <f t="shared" si="2"/>
        <v>-2.3585977554321298</v>
      </c>
    </row>
    <row r="22" spans="1:11" ht="15.75" thickBot="1" x14ac:dyDescent="0.3">
      <c r="H22" s="4" t="s">
        <v>17</v>
      </c>
      <c r="I22" s="5">
        <f>SUM(I14:I21)</f>
        <v>6.4539927840232849</v>
      </c>
      <c r="J22" s="5">
        <f>SUM(J14:J21)</f>
        <v>-12.562079906463627</v>
      </c>
      <c r="K22" s="6">
        <f>SUM(K14:K21)</f>
        <v>-5.4494655132293666</v>
      </c>
    </row>
    <row r="23" spans="1:11" x14ac:dyDescent="0.25">
      <c r="B23" s="1" t="s">
        <v>19</v>
      </c>
      <c r="C23" s="1"/>
      <c r="D23" s="1"/>
      <c r="E23" s="1"/>
      <c r="F23" s="1"/>
      <c r="G23" s="1"/>
    </row>
    <row r="24" spans="1:11" x14ac:dyDescent="0.25">
      <c r="B24" s="2" t="s">
        <v>1</v>
      </c>
      <c r="C24" s="2" t="s">
        <v>2</v>
      </c>
      <c r="D24" s="2" t="s">
        <v>3</v>
      </c>
      <c r="E24" s="2" t="s">
        <v>4</v>
      </c>
      <c r="F24" s="2" t="s">
        <v>5</v>
      </c>
      <c r="G24" s="2" t="s">
        <v>6</v>
      </c>
      <c r="I24" s="3" t="s">
        <v>7</v>
      </c>
      <c r="J24" s="3" t="s">
        <v>8</v>
      </c>
      <c r="K24" s="3" t="s">
        <v>8</v>
      </c>
    </row>
    <row r="25" spans="1:11" x14ac:dyDescent="0.25">
      <c r="A25" s="2">
        <v>7</v>
      </c>
      <c r="B25" t="s">
        <v>9</v>
      </c>
      <c r="C25">
        <v>485</v>
      </c>
      <c r="D25">
        <v>982</v>
      </c>
      <c r="E25">
        <v>0.75425523519515991</v>
      </c>
      <c r="F25">
        <v>3.6789026260375981</v>
      </c>
      <c r="G25">
        <v>2.7663755416870122</v>
      </c>
      <c r="I25" s="3">
        <f>E25-E37</f>
        <v>0.42850399017333979</v>
      </c>
      <c r="J25" s="3">
        <f t="shared" ref="J25:K32" si="4">F25-F37</f>
        <v>-1.9066619873046871</v>
      </c>
      <c r="K25" s="3">
        <f t="shared" si="4"/>
        <v>-1.1656255722045898</v>
      </c>
    </row>
    <row r="26" spans="1:11" x14ac:dyDescent="0.25">
      <c r="A26" s="2">
        <v>1</v>
      </c>
      <c r="B26" t="s">
        <v>10</v>
      </c>
      <c r="C26">
        <v>203</v>
      </c>
      <c r="D26">
        <v>417</v>
      </c>
      <c r="E26">
        <v>0.76541984081268311</v>
      </c>
      <c r="F26">
        <v>5.3250370025634766</v>
      </c>
      <c r="G26">
        <v>4.2585210800170898</v>
      </c>
      <c r="I26" s="3">
        <f t="shared" ref="I26:I32" si="5">E26-E38</f>
        <v>0.70719808340072632</v>
      </c>
      <c r="J26" s="3">
        <f t="shared" si="4"/>
        <v>0.48005247116088867</v>
      </c>
      <c r="K26" s="3">
        <f t="shared" si="4"/>
        <v>0.41581225395202681</v>
      </c>
    </row>
    <row r="27" spans="1:11" x14ac:dyDescent="0.25">
      <c r="A27" s="2">
        <v>3</v>
      </c>
      <c r="B27" t="s">
        <v>11</v>
      </c>
      <c r="C27">
        <v>280</v>
      </c>
      <c r="D27">
        <v>476</v>
      </c>
      <c r="E27">
        <v>0.57214629650115967</v>
      </c>
      <c r="F27">
        <v>4.9965691566467294</v>
      </c>
      <c r="G27">
        <v>3.6933295726776119</v>
      </c>
      <c r="I27" s="3">
        <f t="shared" si="5"/>
        <v>0.445473313331604</v>
      </c>
      <c r="J27" s="3">
        <f t="shared" si="4"/>
        <v>3.8346152305603036</v>
      </c>
      <c r="K27" s="3">
        <f t="shared" si="4"/>
        <v>2.7277715206146236</v>
      </c>
    </row>
    <row r="28" spans="1:11" x14ac:dyDescent="0.25">
      <c r="A28" s="2">
        <v>6</v>
      </c>
      <c r="B28" t="s">
        <v>12</v>
      </c>
      <c r="C28">
        <v>363</v>
      </c>
      <c r="D28">
        <v>822</v>
      </c>
      <c r="E28">
        <v>0.81329011917114258</v>
      </c>
      <c r="F28">
        <v>7.7048521041870117</v>
      </c>
      <c r="G28">
        <v>5.1356143951416016</v>
      </c>
      <c r="I28" s="3">
        <f t="shared" si="5"/>
        <v>0.73668771982192993</v>
      </c>
      <c r="J28" s="3">
        <f t="shared" si="4"/>
        <v>3.9260523319244389</v>
      </c>
      <c r="K28" s="3">
        <f t="shared" si="4"/>
        <v>2.1862018108367915</v>
      </c>
    </row>
    <row r="29" spans="1:11" x14ac:dyDescent="0.25">
      <c r="A29" s="2">
        <v>0</v>
      </c>
      <c r="B29" t="s">
        <v>13</v>
      </c>
      <c r="C29">
        <v>63</v>
      </c>
      <c r="D29">
        <v>128</v>
      </c>
      <c r="E29">
        <v>0.89016819000244141</v>
      </c>
      <c r="F29">
        <v>5.9859671592712402</v>
      </c>
      <c r="G29">
        <v>4.0414199829101563</v>
      </c>
      <c r="I29" s="3">
        <f t="shared" si="5"/>
        <v>0.86471927165985107</v>
      </c>
      <c r="J29" s="3">
        <f t="shared" si="4"/>
        <v>-21.407213687896729</v>
      </c>
      <c r="K29" s="3">
        <f t="shared" si="4"/>
        <v>-8.6286706924438441</v>
      </c>
    </row>
    <row r="30" spans="1:11" x14ac:dyDescent="0.25">
      <c r="A30" s="2">
        <v>2</v>
      </c>
      <c r="B30" t="s">
        <v>14</v>
      </c>
      <c r="C30">
        <v>221</v>
      </c>
      <c r="D30">
        <v>440</v>
      </c>
      <c r="E30">
        <v>0.72281360626220703</v>
      </c>
      <c r="F30">
        <v>12.842570304870611</v>
      </c>
      <c r="G30">
        <v>4.2202739715576172</v>
      </c>
      <c r="I30" s="3">
        <f t="shared" si="5"/>
        <v>2.211464643478394</v>
      </c>
      <c r="J30" s="3">
        <f t="shared" si="4"/>
        <v>7.8265767097473198</v>
      </c>
      <c r="K30" s="3">
        <f t="shared" si="4"/>
        <v>0.21772813796997159</v>
      </c>
    </row>
    <row r="31" spans="1:11" x14ac:dyDescent="0.25">
      <c r="A31" s="2">
        <v>4</v>
      </c>
      <c r="B31" t="s">
        <v>15</v>
      </c>
      <c r="C31">
        <v>352</v>
      </c>
      <c r="D31">
        <v>715</v>
      </c>
      <c r="E31">
        <v>0.74282842874526978</v>
      </c>
      <c r="F31">
        <v>3.5933241844177251</v>
      </c>
      <c r="G31">
        <v>2.8110325336456299</v>
      </c>
      <c r="I31" s="3">
        <f t="shared" si="5"/>
        <v>0.67967784404754639</v>
      </c>
      <c r="J31" s="3">
        <f t="shared" si="4"/>
        <v>-0.82931327819824174</v>
      </c>
      <c r="K31" s="3">
        <f t="shared" si="4"/>
        <v>-0.7102968692779541</v>
      </c>
    </row>
    <row r="32" spans="1:11" ht="15.75" thickBot="1" x14ac:dyDescent="0.3">
      <c r="A32" s="2">
        <v>5</v>
      </c>
      <c r="B32" t="s">
        <v>16</v>
      </c>
      <c r="C32">
        <v>386</v>
      </c>
      <c r="D32">
        <v>746</v>
      </c>
      <c r="E32">
        <v>0.8744431734085083</v>
      </c>
      <c r="F32">
        <v>12.28295421600342</v>
      </c>
      <c r="G32">
        <v>7.040806770324707</v>
      </c>
      <c r="I32" s="3">
        <f t="shared" si="5"/>
        <v>0.90785294771194458</v>
      </c>
      <c r="J32" s="3">
        <f t="shared" si="4"/>
        <v>-7.4839296340942401</v>
      </c>
      <c r="K32" s="3">
        <f t="shared" si="4"/>
        <v>-1.6041808128356934</v>
      </c>
    </row>
    <row r="33" spans="1:11" ht="15.75" thickBot="1" x14ac:dyDescent="0.3">
      <c r="H33" s="4" t="s">
        <v>17</v>
      </c>
      <c r="I33" s="5">
        <f>SUM(I25:I32)</f>
        <v>6.9815778136253357</v>
      </c>
      <c r="J33" s="5">
        <f>SUM(J25:J32)</f>
        <v>-15.559821844100947</v>
      </c>
      <c r="K33" s="6">
        <f>SUM(K25:K32)</f>
        <v>-6.5612602233886674</v>
      </c>
    </row>
    <row r="35" spans="1:11" x14ac:dyDescent="0.25">
      <c r="B35" s="2" t="s">
        <v>1</v>
      </c>
      <c r="C35" s="2" t="s">
        <v>2</v>
      </c>
      <c r="D35" s="2" t="s">
        <v>3</v>
      </c>
      <c r="E35" s="2" t="s">
        <v>4</v>
      </c>
      <c r="F35" s="2" t="s">
        <v>5</v>
      </c>
      <c r="G35" s="2" t="s">
        <v>6</v>
      </c>
    </row>
    <row r="36" spans="1:11" x14ac:dyDescent="0.25">
      <c r="A36" s="8" t="s">
        <v>20</v>
      </c>
      <c r="B36" s="8"/>
      <c r="C36" s="8"/>
      <c r="D36" s="8"/>
      <c r="E36" s="8"/>
      <c r="F36" s="8"/>
      <c r="G36" s="8"/>
    </row>
    <row r="37" spans="1:11" x14ac:dyDescent="0.25">
      <c r="A37" s="2">
        <v>5</v>
      </c>
      <c r="B37" t="s">
        <v>9</v>
      </c>
      <c r="C37">
        <v>343</v>
      </c>
      <c r="D37">
        <v>2551</v>
      </c>
      <c r="E37">
        <v>0.32575124502182012</v>
      </c>
      <c r="F37">
        <v>5.5855646133422852</v>
      </c>
      <c r="G37">
        <v>3.932001113891602</v>
      </c>
    </row>
    <row r="38" spans="1:11" x14ac:dyDescent="0.25">
      <c r="A38" s="2">
        <v>3</v>
      </c>
      <c r="B38" t="s">
        <v>10</v>
      </c>
      <c r="C38">
        <v>206</v>
      </c>
      <c r="D38">
        <v>1442</v>
      </c>
      <c r="E38">
        <v>5.8221757411956787E-2</v>
      </c>
      <c r="F38">
        <v>4.8449845314025879</v>
      </c>
      <c r="G38">
        <v>3.842708826065063</v>
      </c>
    </row>
    <row r="39" spans="1:11" x14ac:dyDescent="0.25">
      <c r="A39" s="2">
        <v>0</v>
      </c>
      <c r="B39" t="s">
        <v>11</v>
      </c>
      <c r="C39">
        <v>14</v>
      </c>
      <c r="D39">
        <v>1217</v>
      </c>
      <c r="E39">
        <v>0.12667298316955569</v>
      </c>
      <c r="F39">
        <v>1.161953926086426</v>
      </c>
      <c r="G39">
        <v>0.96555805206298828</v>
      </c>
    </row>
    <row r="40" spans="1:11" x14ac:dyDescent="0.25">
      <c r="A40" s="2">
        <v>4</v>
      </c>
      <c r="B40" t="s">
        <v>12</v>
      </c>
      <c r="C40">
        <v>265</v>
      </c>
      <c r="D40">
        <v>1856</v>
      </c>
      <c r="E40">
        <v>7.6602399349212646E-2</v>
      </c>
      <c r="F40">
        <v>3.7787997722625728</v>
      </c>
      <c r="G40">
        <v>2.94941258430481</v>
      </c>
    </row>
    <row r="41" spans="1:11" x14ac:dyDescent="0.25">
      <c r="A41" s="2">
        <v>2</v>
      </c>
      <c r="B41" t="s">
        <v>13</v>
      </c>
      <c r="C41">
        <v>169</v>
      </c>
      <c r="D41">
        <v>1238</v>
      </c>
      <c r="E41">
        <v>2.5448918342590329E-2</v>
      </c>
      <c r="F41">
        <v>27.393180847167969</v>
      </c>
      <c r="G41">
        <v>12.670090675354</v>
      </c>
    </row>
    <row r="42" spans="1:11" x14ac:dyDescent="0.25">
      <c r="A42" s="2">
        <v>1</v>
      </c>
      <c r="B42" t="s">
        <v>14</v>
      </c>
      <c r="C42">
        <v>173</v>
      </c>
      <c r="D42">
        <v>1236</v>
      </c>
      <c r="E42">
        <v>-1.488651037216187</v>
      </c>
      <c r="F42">
        <v>5.015993595123291</v>
      </c>
      <c r="G42">
        <v>4.0025458335876456</v>
      </c>
    </row>
    <row r="43" spans="1:11" x14ac:dyDescent="0.25">
      <c r="A43" s="2">
        <v>6</v>
      </c>
      <c r="B43" t="s">
        <v>15</v>
      </c>
      <c r="C43">
        <v>374</v>
      </c>
      <c r="D43">
        <v>2621</v>
      </c>
      <c r="E43">
        <v>6.3150584697723389E-2</v>
      </c>
      <c r="F43">
        <v>4.4226374626159668</v>
      </c>
      <c r="G43">
        <v>3.521329402923584</v>
      </c>
    </row>
    <row r="44" spans="1:11" x14ac:dyDescent="0.25">
      <c r="A44" s="2">
        <v>7</v>
      </c>
      <c r="B44" t="s">
        <v>16</v>
      </c>
      <c r="C44">
        <v>1646</v>
      </c>
      <c r="D44">
        <v>11757</v>
      </c>
      <c r="E44">
        <v>-3.3409774303436279E-2</v>
      </c>
      <c r="F44">
        <v>19.76688385009766</v>
      </c>
      <c r="G44">
        <v>8.6449875831604004</v>
      </c>
    </row>
  </sheetData>
  <mergeCells count="4">
    <mergeCell ref="A36:G36"/>
    <mergeCell ref="B1:G1"/>
    <mergeCell ref="B12:G12"/>
    <mergeCell ref="B23:G23"/>
  </mergeCells>
  <conditionalFormatting sqref="I25:K32">
    <cfRule type="cellIs" dxfId="20" priority="30" operator="greaterThan">
      <formula>0</formula>
    </cfRule>
    <cfRule type="cellIs" dxfId="19" priority="31" operator="lessThan">
      <formula>0</formula>
    </cfRule>
    <cfRule type="cellIs" dxfId="18" priority="32" operator="greaterThan">
      <formula>0</formula>
    </cfRule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3:K33">
    <cfRule type="cellIs" dxfId="17" priority="26" operator="greaterThan">
      <formula>0</formula>
    </cfRule>
    <cfRule type="cellIs" dxfId="16" priority="27" operator="lessThan">
      <formula>0</formula>
    </cfRule>
    <cfRule type="cellIs" dxfId="15" priority="28" operator="greaterThan">
      <formula>0</formula>
    </cfRule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K10">
    <cfRule type="cellIs" dxfId="14" priority="22" operator="greaterThan">
      <formula>0</formula>
    </cfRule>
    <cfRule type="cellIs" dxfId="13" priority="23" operator="lessThan">
      <formula>0</formula>
    </cfRule>
    <cfRule type="cellIs" dxfId="12" priority="24" operator="greaterThan">
      <formula>0</formula>
    </cfRule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1:K11">
    <cfRule type="cellIs" dxfId="11" priority="18" operator="greaterThan">
      <formula>0</formula>
    </cfRule>
    <cfRule type="cellIs" dxfId="10" priority="19" operator="lessThan">
      <formula>0</formula>
    </cfRule>
    <cfRule type="cellIs" dxfId="9" priority="20" operator="greaterThan">
      <formula>0</formula>
    </cfRule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4:K21">
    <cfRule type="cellIs" dxfId="8" priority="14" operator="greaterThan">
      <formula>0</formula>
    </cfRule>
    <cfRule type="cellIs" dxfId="7" priority="15" operator="lessThan">
      <formula>0</formula>
    </cfRule>
    <cfRule type="cellIs" dxfId="6" priority="16" operator="greaterThan">
      <formula>0</formula>
    </cfRule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2:K22">
    <cfRule type="cellIs" dxfId="5" priority="10" operator="greaterThan">
      <formula>0</formula>
    </cfRule>
    <cfRule type="cellIs" dxfId="4" priority="11" operator="lessThan">
      <formula>0</formula>
    </cfRule>
    <cfRule type="cellIs" dxfId="3" priority="12" operator="greaterThan">
      <formula>0</formula>
    </cfRule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12">
    <cfRule type="cellIs" dxfId="2" priority="34" operator="greaterThan">
      <formula>0</formula>
    </cfRule>
    <cfRule type="cellIs" dxfId="1" priority="35" operator="lessThan">
      <formula>0</formula>
    </cfRule>
    <cfRule type="cellIs" dxfId="0" priority="36" operator="greaterThan">
      <formula>0</formula>
    </cfRule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:G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4:G2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5:G3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10 E14:E21 E25:E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7:G4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7:G4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7:E4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7:G4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7:E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</dc:creator>
  <cp:lastModifiedBy>Nikolay</cp:lastModifiedBy>
  <dcterms:created xsi:type="dcterms:W3CDTF">2026-05-03T13:58:49Z</dcterms:created>
  <dcterms:modified xsi:type="dcterms:W3CDTF">2026-05-03T14:01:05Z</dcterms:modified>
</cp:coreProperties>
</file>